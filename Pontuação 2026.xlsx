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luan-\Downloads\"/>
    </mc:Choice>
  </mc:AlternateContent>
  <xr:revisionPtr revIDLastSave="0" documentId="13_ncr:1_{D8A3CEAD-555D-4E53-9018-15E1988DF675}" xr6:coauthVersionLast="36" xr6:coauthVersionMax="36" xr10:uidLastSave="{00000000-0000-0000-0000-000000000000}"/>
  <bookViews>
    <workbookView xWindow="0" yWindow="0" windowWidth="28800" windowHeight="12225" activeTab="1" xr2:uid="{00000000-000D-0000-FFFF-FFFF00000000}"/>
  </bookViews>
  <sheets>
    <sheet name="2025" sheetId="3" r:id="rId1"/>
    <sheet name="2026" sheetId="5" r:id="rId2"/>
  </sheets>
  <calcPr calcId="191029"/>
</workbook>
</file>

<file path=xl/calcChain.xml><?xml version="1.0" encoding="utf-8"?>
<calcChain xmlns="http://schemas.openxmlformats.org/spreadsheetml/2006/main">
  <c r="C24" i="5" l="1"/>
  <c r="D24" i="5"/>
  <c r="E24" i="5"/>
  <c r="F24" i="5"/>
  <c r="G24" i="5"/>
  <c r="H24" i="5"/>
  <c r="H4" i="5"/>
  <c r="C4" i="5"/>
  <c r="D4" i="5"/>
  <c r="E4" i="5"/>
  <c r="F4" i="5"/>
  <c r="G4" i="5"/>
  <c r="H40" i="5" l="1"/>
  <c r="G40" i="5"/>
  <c r="F40" i="5"/>
  <c r="E40" i="5"/>
  <c r="D40" i="5"/>
  <c r="C40" i="5"/>
  <c r="H39" i="5"/>
  <c r="G39" i="5"/>
  <c r="F39" i="5"/>
  <c r="E39" i="5"/>
  <c r="D39" i="5"/>
  <c r="C39" i="5"/>
  <c r="J38" i="5"/>
  <c r="K38" i="5" s="1"/>
  <c r="L38" i="5" s="1"/>
  <c r="M38" i="5" s="1"/>
  <c r="N38" i="5" s="1"/>
  <c r="O38" i="5" s="1"/>
  <c r="Q38" i="5" s="1"/>
  <c r="R38" i="5" s="1"/>
  <c r="S38" i="5" s="1"/>
  <c r="T38" i="5" s="1"/>
  <c r="U38" i="5" s="1"/>
  <c r="V38" i="5" s="1"/>
  <c r="W38" i="5" s="1"/>
  <c r="X38" i="5" s="1"/>
  <c r="Y38" i="5" s="1"/>
  <c r="Z38" i="5" s="1"/>
  <c r="AA38" i="5" s="1"/>
  <c r="AB38" i="5" s="1"/>
  <c r="AC38" i="5" s="1"/>
  <c r="AD38" i="5" s="1"/>
  <c r="AE38" i="5" s="1"/>
  <c r="AF38" i="5" s="1"/>
  <c r="AG38" i="5" s="1"/>
  <c r="AH38" i="5" s="1"/>
  <c r="AI38" i="5" s="1"/>
  <c r="AJ38" i="5" s="1"/>
  <c r="AK38" i="5" s="1"/>
  <c r="AL38" i="5" s="1"/>
  <c r="AM38" i="5" s="1"/>
  <c r="AN38" i="5" s="1"/>
  <c r="AO38" i="5" s="1"/>
  <c r="AP38" i="5" s="1"/>
  <c r="AQ38" i="5" s="1"/>
  <c r="AR38" i="5" s="1"/>
  <c r="AS38" i="5" s="1"/>
  <c r="AT38" i="5" s="1"/>
  <c r="AU38" i="5" s="1"/>
  <c r="AV38" i="5" s="1"/>
  <c r="AW38" i="5" s="1"/>
  <c r="AX38" i="5" s="1"/>
  <c r="AY38" i="5" s="1"/>
  <c r="AZ38" i="5" s="1"/>
  <c r="BA38" i="5" s="1"/>
  <c r="BB38" i="5" s="1"/>
  <c r="BC38" i="5" s="1"/>
  <c r="BD38" i="5" s="1"/>
  <c r="BE38" i="5" s="1"/>
  <c r="BF38" i="5" s="1"/>
  <c r="BG38" i="5" s="1"/>
  <c r="BH38" i="5" s="1"/>
  <c r="BI38" i="5" s="1"/>
  <c r="H27" i="5"/>
  <c r="G27" i="5"/>
  <c r="F27" i="5"/>
  <c r="E27" i="5"/>
  <c r="D27" i="5"/>
  <c r="C27" i="5"/>
  <c r="H34" i="5"/>
  <c r="G34" i="5"/>
  <c r="F34" i="5"/>
  <c r="E34" i="5"/>
  <c r="D34" i="5"/>
  <c r="C34" i="5"/>
  <c r="H35" i="5"/>
  <c r="G35" i="5"/>
  <c r="F35" i="5"/>
  <c r="E35" i="5"/>
  <c r="D35" i="5"/>
  <c r="C35" i="5"/>
  <c r="H28" i="5"/>
  <c r="G28" i="5"/>
  <c r="F28" i="5"/>
  <c r="E28" i="5"/>
  <c r="D28" i="5"/>
  <c r="C28" i="5"/>
  <c r="H32" i="5"/>
  <c r="G32" i="5"/>
  <c r="F32" i="5"/>
  <c r="E32" i="5"/>
  <c r="D32" i="5"/>
  <c r="C32" i="5"/>
  <c r="H25" i="5"/>
  <c r="G25" i="5"/>
  <c r="F25" i="5"/>
  <c r="E25" i="5"/>
  <c r="D25" i="5"/>
  <c r="C25" i="5"/>
  <c r="H29" i="5"/>
  <c r="G29" i="5"/>
  <c r="F29" i="5"/>
  <c r="E29" i="5"/>
  <c r="D29" i="5"/>
  <c r="C29" i="5"/>
  <c r="H36" i="5"/>
  <c r="G36" i="5"/>
  <c r="F36" i="5"/>
  <c r="E36" i="5"/>
  <c r="D36" i="5"/>
  <c r="C36" i="5"/>
  <c r="H37" i="5"/>
  <c r="G37" i="5"/>
  <c r="F37" i="5"/>
  <c r="E37" i="5"/>
  <c r="D37" i="5"/>
  <c r="C37" i="5"/>
  <c r="H30" i="5"/>
  <c r="G30" i="5"/>
  <c r="F30" i="5"/>
  <c r="E30" i="5"/>
  <c r="D30" i="5"/>
  <c r="C30" i="5"/>
  <c r="H33" i="5"/>
  <c r="G33" i="5"/>
  <c r="F33" i="5"/>
  <c r="E33" i="5"/>
  <c r="D33" i="5"/>
  <c r="C33" i="5"/>
  <c r="H26" i="5"/>
  <c r="G26" i="5"/>
  <c r="F26" i="5"/>
  <c r="E26" i="5"/>
  <c r="D26" i="5"/>
  <c r="C26" i="5"/>
  <c r="H31" i="5"/>
  <c r="G31" i="5"/>
  <c r="F31" i="5"/>
  <c r="E31" i="5"/>
  <c r="D31" i="5"/>
  <c r="C31" i="5"/>
  <c r="J23" i="5"/>
  <c r="K23" i="5" s="1"/>
  <c r="L23" i="5" s="1"/>
  <c r="M23" i="5" s="1"/>
  <c r="N23" i="5" s="1"/>
  <c r="O23" i="5" s="1"/>
  <c r="Q23" i="5" s="1"/>
  <c r="R23" i="5" s="1"/>
  <c r="S23" i="5" s="1"/>
  <c r="T23" i="5" s="1"/>
  <c r="U23" i="5" s="1"/>
  <c r="V23" i="5" s="1"/>
  <c r="W23" i="5" s="1"/>
  <c r="X23" i="5" s="1"/>
  <c r="Y23" i="5" s="1"/>
  <c r="Z23" i="5" s="1"/>
  <c r="AA23" i="5" s="1"/>
  <c r="AB23" i="5" s="1"/>
  <c r="AC23" i="5" s="1"/>
  <c r="AD23" i="5" s="1"/>
  <c r="AE23" i="5" s="1"/>
  <c r="AF23" i="5" s="1"/>
  <c r="AG23" i="5" s="1"/>
  <c r="AH23" i="5" s="1"/>
  <c r="AI23" i="5" s="1"/>
  <c r="AJ23" i="5" s="1"/>
  <c r="AK23" i="5" s="1"/>
  <c r="AL23" i="5" s="1"/>
  <c r="AM23" i="5" s="1"/>
  <c r="AN23" i="5" s="1"/>
  <c r="AO23" i="5" s="1"/>
  <c r="AP23" i="5" s="1"/>
  <c r="AQ23" i="5" s="1"/>
  <c r="AR23" i="5" s="1"/>
  <c r="AS23" i="5" s="1"/>
  <c r="AT23" i="5" s="1"/>
  <c r="AU23" i="5" s="1"/>
  <c r="AV23" i="5" s="1"/>
  <c r="AW23" i="5" s="1"/>
  <c r="AX23" i="5" s="1"/>
  <c r="AY23" i="5" s="1"/>
  <c r="AZ23" i="5" s="1"/>
  <c r="BA23" i="5" s="1"/>
  <c r="BB23" i="5" s="1"/>
  <c r="BC23" i="5" s="1"/>
  <c r="BD23" i="5" s="1"/>
  <c r="BE23" i="5" s="1"/>
  <c r="BF23" i="5" s="1"/>
  <c r="BG23" i="5" s="1"/>
  <c r="BH23" i="5" s="1"/>
  <c r="BI23" i="5" s="1"/>
  <c r="D10" i="5"/>
  <c r="E10" i="5"/>
  <c r="F10" i="5"/>
  <c r="G10" i="5"/>
  <c r="H10" i="5"/>
  <c r="D16" i="5"/>
  <c r="E16" i="5"/>
  <c r="F16" i="5"/>
  <c r="G16" i="5"/>
  <c r="H16" i="5"/>
  <c r="D15" i="5"/>
  <c r="E15" i="5"/>
  <c r="F15" i="5"/>
  <c r="G15" i="5"/>
  <c r="H15" i="5"/>
  <c r="D8" i="5"/>
  <c r="E8" i="5"/>
  <c r="F8" i="5"/>
  <c r="G8" i="5"/>
  <c r="H8" i="5"/>
  <c r="D13" i="5"/>
  <c r="E13" i="5"/>
  <c r="F13" i="5"/>
  <c r="G13" i="5"/>
  <c r="H13" i="5"/>
  <c r="D5" i="5"/>
  <c r="E5" i="5"/>
  <c r="F5" i="5"/>
  <c r="G5" i="5"/>
  <c r="H5" i="5"/>
  <c r="D11" i="5"/>
  <c r="E11" i="5"/>
  <c r="F11" i="5"/>
  <c r="G11" i="5"/>
  <c r="H11" i="5"/>
  <c r="D14" i="5"/>
  <c r="E14" i="5"/>
  <c r="F14" i="5"/>
  <c r="G14" i="5"/>
  <c r="H14" i="5"/>
  <c r="D9" i="5"/>
  <c r="E9" i="5"/>
  <c r="F9" i="5"/>
  <c r="G9" i="5"/>
  <c r="H9" i="5"/>
  <c r="D12" i="5"/>
  <c r="E12" i="5"/>
  <c r="F12" i="5"/>
  <c r="G12" i="5"/>
  <c r="H12" i="5"/>
  <c r="D6" i="5"/>
  <c r="E6" i="5"/>
  <c r="F6" i="5"/>
  <c r="G6" i="5"/>
  <c r="H6" i="5"/>
  <c r="D7" i="5"/>
  <c r="E7" i="5"/>
  <c r="F7" i="5"/>
  <c r="G7" i="5"/>
  <c r="H7" i="5"/>
  <c r="D19" i="5"/>
  <c r="E19" i="5"/>
  <c r="F19" i="5"/>
  <c r="G19" i="5"/>
  <c r="H19" i="5"/>
  <c r="D20" i="5"/>
  <c r="E20" i="5"/>
  <c r="F20" i="5"/>
  <c r="G20" i="5"/>
  <c r="H20" i="5"/>
  <c r="D17" i="5"/>
  <c r="J18" i="5"/>
  <c r="K18" i="5" s="1"/>
  <c r="L18" i="5" s="1"/>
  <c r="M18" i="5" s="1"/>
  <c r="N18" i="5" s="1"/>
  <c r="O18" i="5" s="1"/>
  <c r="Q18" i="5" s="1"/>
  <c r="R18" i="5" s="1"/>
  <c r="S18" i="5" s="1"/>
  <c r="T18" i="5" s="1"/>
  <c r="U18" i="5" s="1"/>
  <c r="V18" i="5" s="1"/>
  <c r="W18" i="5" s="1"/>
  <c r="X18" i="5" s="1"/>
  <c r="Y18" i="5" s="1"/>
  <c r="Z18" i="5" s="1"/>
  <c r="AA18" i="5" s="1"/>
  <c r="AB18" i="5" s="1"/>
  <c r="AC18" i="5" s="1"/>
  <c r="AD18" i="5" s="1"/>
  <c r="AE18" i="5" s="1"/>
  <c r="AF18" i="5" s="1"/>
  <c r="AG18" i="5" s="1"/>
  <c r="AH18" i="5" s="1"/>
  <c r="AI18" i="5" s="1"/>
  <c r="AJ18" i="5" s="1"/>
  <c r="AK18" i="5" s="1"/>
  <c r="AL18" i="5" s="1"/>
  <c r="AM18" i="5" s="1"/>
  <c r="AN18" i="5" s="1"/>
  <c r="AO18" i="5" s="1"/>
  <c r="AP18" i="5" s="1"/>
  <c r="AQ18" i="5" s="1"/>
  <c r="AR18" i="5" s="1"/>
  <c r="AS18" i="5" s="1"/>
  <c r="AT18" i="5" s="1"/>
  <c r="AU18" i="5" s="1"/>
  <c r="AV18" i="5" s="1"/>
  <c r="AW18" i="5" s="1"/>
  <c r="AX18" i="5" s="1"/>
  <c r="AY18" i="5" s="1"/>
  <c r="AZ18" i="5" s="1"/>
  <c r="BA18" i="5" s="1"/>
  <c r="BB18" i="5" s="1"/>
  <c r="BC18" i="5" s="1"/>
  <c r="BD18" i="5" s="1"/>
  <c r="BE18" i="5" s="1"/>
  <c r="BF18" i="5" s="1"/>
  <c r="BG18" i="5" s="1"/>
  <c r="BH18" i="5" s="1"/>
  <c r="BI18" i="5" s="1"/>
  <c r="J3" i="5"/>
  <c r="K3" i="5" s="1"/>
  <c r="L3" i="5" s="1"/>
  <c r="M3" i="5" s="1"/>
  <c r="N3" i="5" s="1"/>
  <c r="O3" i="5" s="1"/>
  <c r="Q3" i="5" s="1"/>
  <c r="R3" i="5" s="1"/>
  <c r="S3" i="5" s="1"/>
  <c r="T3" i="5" s="1"/>
  <c r="U3" i="5" s="1"/>
  <c r="V3" i="5" s="1"/>
  <c r="W3" i="5" s="1"/>
  <c r="X3" i="5" s="1"/>
  <c r="Y3" i="5" s="1"/>
  <c r="Z3" i="5" s="1"/>
  <c r="AA3" i="5" s="1"/>
  <c r="AB3" i="5" s="1"/>
  <c r="C20" i="5"/>
  <c r="C19" i="5"/>
  <c r="C7" i="5"/>
  <c r="C6" i="5"/>
  <c r="C12" i="5"/>
  <c r="C9" i="5"/>
  <c r="C14" i="5"/>
  <c r="C11" i="5"/>
  <c r="C5" i="5"/>
  <c r="C13" i="5"/>
  <c r="C8" i="5"/>
  <c r="C15" i="5"/>
  <c r="C16" i="5"/>
  <c r="C10" i="5"/>
  <c r="C17" i="5" l="1"/>
  <c r="H17" i="5"/>
  <c r="G17" i="5"/>
  <c r="F17" i="5"/>
  <c r="E17" i="5"/>
  <c r="AC3" i="5"/>
  <c r="G4" i="3"/>
  <c r="F20" i="3"/>
  <c r="F22" i="3"/>
  <c r="F23" i="3"/>
  <c r="F21" i="3"/>
  <c r="F6" i="3"/>
  <c r="F5" i="3"/>
  <c r="F8" i="3"/>
  <c r="F7" i="3"/>
  <c r="F11" i="3"/>
  <c r="F9" i="3"/>
  <c r="F13" i="3"/>
  <c r="F10" i="3"/>
  <c r="F12" i="3"/>
  <c r="F14" i="3"/>
  <c r="F16" i="3"/>
  <c r="F15" i="3"/>
  <c r="F17" i="3"/>
  <c r="F18" i="3"/>
  <c r="F4" i="3"/>
  <c r="AD3" i="5" l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AU3" i="5" s="1"/>
  <c r="AV3" i="5" s="1"/>
  <c r="AW3" i="5" s="1"/>
  <c r="AX3" i="5" s="1"/>
  <c r="AY3" i="5" s="1"/>
  <c r="AZ3" i="5" s="1"/>
  <c r="BA3" i="5" s="1"/>
  <c r="BB3" i="5" s="1"/>
  <c r="BC3" i="5" s="1"/>
  <c r="BD3" i="5" s="1"/>
  <c r="BE3" i="5" s="1"/>
  <c r="BF3" i="5" s="1"/>
  <c r="BG3" i="5" s="1"/>
  <c r="BH3" i="5" s="1"/>
  <c r="BI3" i="5" s="1"/>
  <c r="C18" i="3"/>
  <c r="D18" i="3"/>
  <c r="E18" i="3"/>
  <c r="G18" i="3"/>
  <c r="H18" i="3"/>
  <c r="H17" i="3" l="1"/>
  <c r="G17" i="3"/>
  <c r="C17" i="3"/>
  <c r="AW19" i="3" l="1"/>
  <c r="AX19" i="3" s="1"/>
  <c r="AY19" i="3" s="1"/>
  <c r="AZ19" i="3" s="1"/>
  <c r="BA19" i="3" s="1"/>
  <c r="BB19" i="3" s="1"/>
  <c r="BC19" i="3" s="1"/>
  <c r="BD19" i="3" s="1"/>
  <c r="BE19" i="3" s="1"/>
  <c r="BF19" i="3" s="1"/>
  <c r="BG19" i="3" s="1"/>
  <c r="BH19" i="3" s="1"/>
  <c r="G6" i="3"/>
  <c r="G5" i="3"/>
  <c r="G8" i="3"/>
  <c r="G7" i="3"/>
  <c r="G13" i="3"/>
  <c r="G9" i="3"/>
  <c r="G11" i="3"/>
  <c r="G10" i="3"/>
  <c r="G12" i="3"/>
  <c r="G16" i="3"/>
  <c r="G14" i="3"/>
  <c r="G15" i="3"/>
  <c r="G21" i="3"/>
  <c r="G20" i="3"/>
  <c r="G22" i="3"/>
  <c r="G23" i="3"/>
  <c r="AW3" i="3"/>
  <c r="AX3" i="3" s="1"/>
  <c r="AY3" i="3" s="1"/>
  <c r="AZ3" i="3" s="1"/>
  <c r="BA3" i="3" s="1"/>
  <c r="BB3" i="3" s="1"/>
  <c r="BC3" i="3" s="1"/>
  <c r="BD3" i="3" s="1"/>
  <c r="BE3" i="3" s="1"/>
  <c r="BF3" i="3" s="1"/>
  <c r="BG3" i="3" s="1"/>
  <c r="BH3" i="3" s="1"/>
  <c r="AI19" i="3" l="1"/>
  <c r="AJ19" i="3" s="1"/>
  <c r="AK19" i="3" s="1"/>
  <c r="AL19" i="3" s="1"/>
  <c r="AM19" i="3" s="1"/>
  <c r="AN19" i="3" s="1"/>
  <c r="AO19" i="3" s="1"/>
  <c r="AP19" i="3" s="1"/>
  <c r="AQ19" i="3" s="1"/>
  <c r="AR19" i="3" s="1"/>
  <c r="AS19" i="3" s="1"/>
  <c r="AT19" i="3" s="1"/>
  <c r="AU19" i="3" s="1"/>
  <c r="H14" i="3" l="1"/>
  <c r="AI3" i="3"/>
  <c r="AJ3" i="3" s="1"/>
  <c r="AK3" i="3" s="1"/>
  <c r="AL3" i="3" s="1"/>
  <c r="AM3" i="3" s="1"/>
  <c r="AN3" i="3" s="1"/>
  <c r="AO3" i="3" s="1"/>
  <c r="AP3" i="3" s="1"/>
  <c r="AQ3" i="3" s="1"/>
  <c r="AR3" i="3" s="1"/>
  <c r="AS3" i="3" s="1"/>
  <c r="AT3" i="3" s="1"/>
  <c r="AU3" i="3" s="1"/>
  <c r="E20" i="3" l="1"/>
  <c r="E22" i="3"/>
  <c r="E23" i="3"/>
  <c r="E21" i="3"/>
  <c r="E4" i="3"/>
  <c r="E7" i="3"/>
  <c r="E5" i="3"/>
  <c r="E9" i="3"/>
  <c r="E10" i="3"/>
  <c r="E8" i="3"/>
  <c r="E13" i="3"/>
  <c r="E11" i="3"/>
  <c r="E15" i="3"/>
  <c r="E12" i="3"/>
  <c r="E16" i="3"/>
  <c r="E14" i="3"/>
  <c r="E6" i="3"/>
  <c r="D14" i="3" l="1"/>
  <c r="C14" i="3"/>
  <c r="AA3" i="3" l="1"/>
  <c r="D6" i="3"/>
  <c r="AA19" i="3" l="1"/>
  <c r="AB3" i="3"/>
  <c r="AB19" i="3" s="1"/>
  <c r="AC3" i="3" l="1"/>
  <c r="D7" i="3"/>
  <c r="D9" i="3"/>
  <c r="D15" i="3"/>
  <c r="D10" i="3"/>
  <c r="D8" i="3"/>
  <c r="D13" i="3"/>
  <c r="D11" i="3"/>
  <c r="D12" i="3"/>
  <c r="D5" i="3"/>
  <c r="D16" i="3"/>
  <c r="AC19" i="3" l="1"/>
  <c r="AD3" i="3"/>
  <c r="AE3" i="3" l="1"/>
  <c r="AF3" i="3" s="1"/>
  <c r="AG3" i="3" s="1"/>
  <c r="AD19" i="3"/>
  <c r="D4" i="3"/>
  <c r="D21" i="3"/>
  <c r="D22" i="3"/>
  <c r="D23" i="3"/>
  <c r="D20" i="3"/>
  <c r="AE19" i="3" l="1"/>
  <c r="AF19" i="3" s="1"/>
  <c r="AG19" i="3" s="1"/>
  <c r="C48" i="3"/>
  <c r="C47" i="3"/>
  <c r="H21" i="3" l="1"/>
  <c r="C21" i="3"/>
  <c r="H20" i="3"/>
  <c r="C20" i="3"/>
  <c r="H23" i="3"/>
  <c r="C23" i="3"/>
  <c r="H22" i="3"/>
  <c r="C22" i="3"/>
  <c r="H13" i="3"/>
  <c r="C13" i="3"/>
  <c r="H7" i="3"/>
  <c r="C7" i="3"/>
  <c r="H12" i="3"/>
  <c r="C12" i="3"/>
  <c r="H4" i="3"/>
  <c r="C4" i="3"/>
  <c r="H6" i="3"/>
  <c r="C6" i="3"/>
  <c r="H5" i="3"/>
  <c r="C5" i="3"/>
  <c r="H10" i="3"/>
  <c r="C10" i="3"/>
  <c r="H11" i="3"/>
  <c r="C11" i="3"/>
  <c r="H9" i="3"/>
  <c r="C9" i="3"/>
  <c r="H15" i="3"/>
  <c r="C15" i="3"/>
  <c r="H8" i="3"/>
  <c r="C8" i="3"/>
  <c r="H16" i="3" l="1"/>
  <c r="C16" i="3"/>
</calcChain>
</file>

<file path=xl/sharedStrings.xml><?xml version="1.0" encoding="utf-8"?>
<sst xmlns="http://schemas.openxmlformats.org/spreadsheetml/2006/main" count="686" uniqueCount="41">
  <si>
    <t>Atletas</t>
  </si>
  <si>
    <t>Pontuação</t>
  </si>
  <si>
    <t>Igor</t>
  </si>
  <si>
    <t>Luan</t>
  </si>
  <si>
    <t>Jogos</t>
  </si>
  <si>
    <t>Lucas Carneiro</t>
  </si>
  <si>
    <t>Ivair</t>
  </si>
  <si>
    <t>Andrey</t>
  </si>
  <si>
    <t>Rafael Begale</t>
  </si>
  <si>
    <t>Jorge</t>
  </si>
  <si>
    <t>Maicon</t>
  </si>
  <si>
    <t xml:space="preserve">Carlos </t>
  </si>
  <si>
    <t>Danilo</t>
  </si>
  <si>
    <t>Rafael Garcia</t>
  </si>
  <si>
    <t>-</t>
  </si>
  <si>
    <t>Pedro</t>
  </si>
  <si>
    <t>Ivan</t>
  </si>
  <si>
    <t>Wendril</t>
  </si>
  <si>
    <t>Luciano</t>
  </si>
  <si>
    <t>F</t>
  </si>
  <si>
    <t>FUTEBOL DOS AMIGOS 2025</t>
  </si>
  <si>
    <t>Goleiros</t>
  </si>
  <si>
    <t>Flávio</t>
  </si>
  <si>
    <t>Campeão 1º trimestre de 2025</t>
  </si>
  <si>
    <t>Jogador</t>
  </si>
  <si>
    <t>Goleiro</t>
  </si>
  <si>
    <t>Pontuação Total</t>
  </si>
  <si>
    <t>1º tri</t>
  </si>
  <si>
    <t xml:space="preserve"> </t>
  </si>
  <si>
    <t>2º tri</t>
  </si>
  <si>
    <t>Luiz Miguel</t>
  </si>
  <si>
    <t>3º tri</t>
  </si>
  <si>
    <t>4º tri</t>
  </si>
  <si>
    <t>Tampico</t>
  </si>
  <si>
    <t>Lucas Gonçalvez</t>
  </si>
  <si>
    <t>Bruno</t>
  </si>
  <si>
    <t>Manoel</t>
  </si>
  <si>
    <t>PONTUAÇÃO FUTEBOL DOS AMIGOS 2025</t>
  </si>
  <si>
    <t>ARTILHARIA FUTEBOL DOS AMIGOS 2025</t>
  </si>
  <si>
    <t>Gols Total</t>
  </si>
  <si>
    <t>João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</si>
</sst>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\-mmm;@"/>
  </numFmts>
  <fonts count="6">
    <font>
      <sz val="11"/>
      <color theme="1"/>
      <name val="Calibri"/>
      <charset val="134"/>
      <scheme val="minor"/>
    </font>
    <font>
      <sz val="11"/>
      <color theme="1"/>
      <name val="Century Gothic"/>
      <family val="2"/>
    </font>
    <font>
      <b/>
      <sz val="12"/>
      <color theme="0"/>
      <name val="Century Gothic"/>
      <family val="2"/>
    </font>
    <font>
      <b/>
      <sz val="11"/>
      <color theme="1"/>
      <name val="Century Gothic"/>
      <family val="2"/>
    </font>
    <font>
      <b/>
      <sz val="9"/>
      <color theme="1"/>
      <name val="Century Gothic"/>
      <family val="2"/>
    </font>
    <font>
      <b/>
      <sz val="12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Fill="1" applyBorder="1"/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164" fontId="4" fillId="0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indent="1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9FFFF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159725</xdr:colOff>
      <xdr:row>46</xdr:row>
      <xdr:rowOff>27842</xdr:rowOff>
    </xdr:from>
    <xdr:to>
      <xdr:col>48</xdr:col>
      <xdr:colOff>365982</xdr:colOff>
      <xdr:row>47</xdr:row>
      <xdr:rowOff>359020</xdr:rowOff>
    </xdr:to>
    <xdr:pic>
      <xdr:nvPicPr>
        <xdr:cNvPr id="2" name="Gráfico 1" descr="Troféu">
          <a:extLst>
            <a:ext uri="{FF2B5EF4-FFF2-40B4-BE49-F238E27FC236}">
              <a16:creationId xmlns:a16="http://schemas.microsoft.com/office/drawing/2014/main" id="{957DD087-08B4-45EA-BCEA-CF5B03338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693500" y="5114192"/>
          <a:ext cx="713644" cy="712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8D4B-D952-4E05-92B1-D44E11E557B1}">
  <dimension ref="B1:BH49"/>
  <sheetViews>
    <sheetView showGridLines="0" zoomScale="120" zoomScaleNormal="120" workbookViewId="0">
      <selection activeCell="C34" sqref="C34"/>
    </sheetView>
  </sheetViews>
  <sheetFormatPr defaultColWidth="9" defaultRowHeight="16.5"/>
  <cols>
    <col min="1" max="1" width="1.85546875" style="1" customWidth="1"/>
    <col min="2" max="2" width="25.7109375" style="1" customWidth="1"/>
    <col min="3" max="3" width="18.140625" style="1" customWidth="1"/>
    <col min="4" max="7" width="7.7109375" style="1" customWidth="1"/>
    <col min="8" max="8" width="7.42578125" style="1" bestFit="1" customWidth="1"/>
    <col min="9" max="9" width="5.28515625" style="1" hidden="1" customWidth="1"/>
    <col min="10" max="12" width="6.28515625" style="1" hidden="1" customWidth="1"/>
    <col min="13" max="14" width="5.28515625" style="1" hidden="1" customWidth="1"/>
    <col min="15" max="16" width="6.28515625" style="1" hidden="1" customWidth="1"/>
    <col min="17" max="18" width="6" style="1" hidden="1" customWidth="1"/>
    <col min="19" max="21" width="7" style="1" hidden="1" customWidth="1"/>
    <col min="22" max="22" width="5.5703125" style="1" hidden="1" customWidth="1"/>
    <col min="23" max="25" width="6.5703125" style="1" hidden="1" customWidth="1"/>
    <col min="26" max="26" width="5.85546875" style="1" hidden="1" customWidth="1"/>
    <col min="27" max="30" width="6.85546875" style="1" hidden="1" customWidth="1"/>
    <col min="31" max="31" width="5.140625" style="1" hidden="1" customWidth="1"/>
    <col min="32" max="34" width="6.140625" style="1" hidden="1" customWidth="1"/>
    <col min="35" max="35" width="4.5703125" style="1" hidden="1" customWidth="1"/>
    <col min="36" max="38" width="5.5703125" style="1" hidden="1" customWidth="1"/>
    <col min="39" max="40" width="6.140625" style="1" hidden="1" customWidth="1"/>
    <col min="41" max="43" width="7.140625" style="1" hidden="1" customWidth="1"/>
    <col min="44" max="44" width="5" style="1" hidden="1" customWidth="1"/>
    <col min="45" max="47" width="6" style="1" hidden="1" customWidth="1"/>
    <col min="48" max="48" width="5.28515625" style="1" bestFit="1" customWidth="1"/>
    <col min="49" max="60" width="7.7109375" style="1" customWidth="1"/>
    <col min="61" max="61" width="2" style="1" customWidth="1"/>
    <col min="62" max="16384" width="9" style="1"/>
  </cols>
  <sheetData>
    <row r="1" spans="2:60" ht="6" customHeight="1"/>
    <row r="2" spans="2:60" ht="24" customHeight="1">
      <c r="B2" s="15" t="s">
        <v>20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</row>
    <row r="3" spans="2:60">
      <c r="B3" s="4" t="s">
        <v>0</v>
      </c>
      <c r="C3" s="7" t="s">
        <v>26</v>
      </c>
      <c r="D3" s="7" t="s">
        <v>27</v>
      </c>
      <c r="E3" s="7" t="s">
        <v>29</v>
      </c>
      <c r="F3" s="7" t="s">
        <v>31</v>
      </c>
      <c r="G3" s="7" t="s">
        <v>32</v>
      </c>
      <c r="H3" s="7" t="s">
        <v>4</v>
      </c>
      <c r="I3" s="5">
        <v>45661</v>
      </c>
      <c r="J3" s="5">
        <v>45668</v>
      </c>
      <c r="K3" s="5">
        <v>45675</v>
      </c>
      <c r="L3" s="5">
        <v>45682</v>
      </c>
      <c r="M3" s="5">
        <v>45689</v>
      </c>
      <c r="N3" s="5">
        <v>45696</v>
      </c>
      <c r="O3" s="5">
        <v>45703</v>
      </c>
      <c r="P3" s="5">
        <v>45710</v>
      </c>
      <c r="Q3" s="5">
        <v>45717</v>
      </c>
      <c r="R3" s="5">
        <v>45724</v>
      </c>
      <c r="S3" s="5">
        <v>45731</v>
      </c>
      <c r="T3" s="5">
        <v>45738</v>
      </c>
      <c r="U3" s="5">
        <v>45745</v>
      </c>
      <c r="V3" s="5">
        <v>45752</v>
      </c>
      <c r="W3" s="5">
        <v>45759</v>
      </c>
      <c r="X3" s="5">
        <v>45766</v>
      </c>
      <c r="Y3" s="5">
        <v>45773</v>
      </c>
      <c r="Z3" s="5">
        <v>45780</v>
      </c>
      <c r="AA3" s="5">
        <f t="shared" ref="AA3:AG3" si="0">Z3+7</f>
        <v>45787</v>
      </c>
      <c r="AB3" s="5">
        <f t="shared" si="0"/>
        <v>45794</v>
      </c>
      <c r="AC3" s="5">
        <f t="shared" si="0"/>
        <v>45801</v>
      </c>
      <c r="AD3" s="5">
        <f t="shared" si="0"/>
        <v>45808</v>
      </c>
      <c r="AE3" s="5">
        <f t="shared" si="0"/>
        <v>45815</v>
      </c>
      <c r="AF3" s="5">
        <f t="shared" si="0"/>
        <v>45822</v>
      </c>
      <c r="AG3" s="5">
        <f t="shared" si="0"/>
        <v>45829</v>
      </c>
      <c r="AH3" s="5">
        <v>45836</v>
      </c>
      <c r="AI3" s="5">
        <f t="shared" ref="AI3:AU3" si="1">AH3+7</f>
        <v>45843</v>
      </c>
      <c r="AJ3" s="5">
        <f t="shared" si="1"/>
        <v>45850</v>
      </c>
      <c r="AK3" s="5">
        <f t="shared" si="1"/>
        <v>45857</v>
      </c>
      <c r="AL3" s="5">
        <f t="shared" si="1"/>
        <v>45864</v>
      </c>
      <c r="AM3" s="5">
        <f t="shared" si="1"/>
        <v>45871</v>
      </c>
      <c r="AN3" s="5">
        <f t="shared" si="1"/>
        <v>45878</v>
      </c>
      <c r="AO3" s="5">
        <f t="shared" si="1"/>
        <v>45885</v>
      </c>
      <c r="AP3" s="5">
        <f t="shared" si="1"/>
        <v>45892</v>
      </c>
      <c r="AQ3" s="5">
        <f t="shared" si="1"/>
        <v>45899</v>
      </c>
      <c r="AR3" s="5">
        <f t="shared" si="1"/>
        <v>45906</v>
      </c>
      <c r="AS3" s="5">
        <f t="shared" si="1"/>
        <v>45913</v>
      </c>
      <c r="AT3" s="5">
        <f t="shared" si="1"/>
        <v>45920</v>
      </c>
      <c r="AU3" s="5">
        <f t="shared" si="1"/>
        <v>45927</v>
      </c>
      <c r="AV3" s="5">
        <v>45934</v>
      </c>
      <c r="AW3" s="5">
        <f t="shared" ref="AW3:BH3" si="2">AV3+7</f>
        <v>45941</v>
      </c>
      <c r="AX3" s="5">
        <f t="shared" si="2"/>
        <v>45948</v>
      </c>
      <c r="AY3" s="5">
        <f t="shared" si="2"/>
        <v>45955</v>
      </c>
      <c r="AZ3" s="5">
        <f t="shared" si="2"/>
        <v>45962</v>
      </c>
      <c r="BA3" s="5">
        <f t="shared" si="2"/>
        <v>45969</v>
      </c>
      <c r="BB3" s="5">
        <f t="shared" si="2"/>
        <v>45976</v>
      </c>
      <c r="BC3" s="5">
        <f t="shared" si="2"/>
        <v>45983</v>
      </c>
      <c r="BD3" s="5">
        <f t="shared" si="2"/>
        <v>45990</v>
      </c>
      <c r="BE3" s="5">
        <f t="shared" si="2"/>
        <v>45997</v>
      </c>
      <c r="BF3" s="5">
        <f t="shared" si="2"/>
        <v>46004</v>
      </c>
      <c r="BG3" s="5">
        <f t="shared" si="2"/>
        <v>46011</v>
      </c>
      <c r="BH3" s="5">
        <f t="shared" si="2"/>
        <v>46018</v>
      </c>
    </row>
    <row r="4" spans="2:60">
      <c r="B4" s="2" t="s">
        <v>10</v>
      </c>
      <c r="C4" s="6">
        <f t="shared" ref="C4:C18" si="3">SUM(I4:BH4)</f>
        <v>79</v>
      </c>
      <c r="D4" s="11">
        <f t="shared" ref="D4:D16" si="4">SUM(I4:U4)</f>
        <v>24</v>
      </c>
      <c r="E4" s="11">
        <f t="shared" ref="E4:E16" si="5">SUM(V4:AH4)</f>
        <v>25</v>
      </c>
      <c r="F4" s="11">
        <f t="shared" ref="F4:F18" si="6">SUM(AI4:AU4)</f>
        <v>11</v>
      </c>
      <c r="G4" s="11">
        <f t="shared" ref="G4:G18" si="7">SUM(AV4:BH4)</f>
        <v>19</v>
      </c>
      <c r="H4" s="11">
        <f t="shared" ref="H4:H18" si="8">COUNT(I4:BH4)</f>
        <v>42</v>
      </c>
      <c r="I4" s="3">
        <v>0</v>
      </c>
      <c r="J4" s="3">
        <v>3</v>
      </c>
      <c r="K4" s="3">
        <v>3</v>
      </c>
      <c r="L4" s="3">
        <v>3</v>
      </c>
      <c r="M4" s="3">
        <v>3</v>
      </c>
      <c r="N4" s="3">
        <v>3</v>
      </c>
      <c r="O4" s="3">
        <v>0</v>
      </c>
      <c r="P4" s="3">
        <v>0</v>
      </c>
      <c r="Q4" s="3">
        <v>3</v>
      </c>
      <c r="R4" s="3">
        <v>0</v>
      </c>
      <c r="S4" s="3" t="s">
        <v>19</v>
      </c>
      <c r="T4" s="3">
        <v>3</v>
      </c>
      <c r="U4" s="3">
        <v>3</v>
      </c>
      <c r="V4" s="3">
        <v>3</v>
      </c>
      <c r="W4" s="3">
        <v>0</v>
      </c>
      <c r="X4" s="3">
        <v>3</v>
      </c>
      <c r="Y4" s="3">
        <v>0</v>
      </c>
      <c r="Z4" s="3" t="s">
        <v>19</v>
      </c>
      <c r="AA4" s="3">
        <v>3</v>
      </c>
      <c r="AB4" s="3">
        <v>3</v>
      </c>
      <c r="AC4" s="3" t="s">
        <v>19</v>
      </c>
      <c r="AD4" s="3">
        <v>3</v>
      </c>
      <c r="AE4" s="3">
        <v>1</v>
      </c>
      <c r="AF4" s="3">
        <v>3</v>
      </c>
      <c r="AG4" s="3">
        <v>3</v>
      </c>
      <c r="AH4" s="3">
        <v>3</v>
      </c>
      <c r="AI4" s="3">
        <v>1</v>
      </c>
      <c r="AJ4" s="3">
        <v>0</v>
      </c>
      <c r="AK4" s="3">
        <v>1</v>
      </c>
      <c r="AL4" s="3">
        <v>3</v>
      </c>
      <c r="AM4" s="3">
        <v>0</v>
      </c>
      <c r="AN4" s="3">
        <v>0</v>
      </c>
      <c r="AO4" s="3">
        <v>3</v>
      </c>
      <c r="AP4" s="3">
        <v>0</v>
      </c>
      <c r="AQ4" s="3">
        <v>0</v>
      </c>
      <c r="AR4" s="3" t="s">
        <v>19</v>
      </c>
      <c r="AS4" s="3">
        <v>0</v>
      </c>
      <c r="AT4" s="3">
        <v>3</v>
      </c>
      <c r="AU4" s="3">
        <v>0</v>
      </c>
      <c r="AV4" s="3">
        <v>3</v>
      </c>
      <c r="AW4" s="3">
        <v>3</v>
      </c>
      <c r="AX4" s="3">
        <v>1</v>
      </c>
      <c r="AY4" s="3">
        <v>3</v>
      </c>
      <c r="AZ4" s="3">
        <v>3</v>
      </c>
      <c r="BA4" s="3">
        <v>3</v>
      </c>
      <c r="BB4" s="3" t="s">
        <v>19</v>
      </c>
      <c r="BC4" s="3" t="s">
        <v>19</v>
      </c>
      <c r="BD4" s="3" t="s">
        <v>19</v>
      </c>
      <c r="BE4" s="3" t="s">
        <v>19</v>
      </c>
      <c r="BF4" s="3">
        <v>3</v>
      </c>
      <c r="BG4" s="3"/>
      <c r="BH4" s="3"/>
    </row>
    <row r="5" spans="2:60">
      <c r="B5" s="2" t="s">
        <v>18</v>
      </c>
      <c r="C5" s="6">
        <f t="shared" si="3"/>
        <v>69</v>
      </c>
      <c r="D5" s="11">
        <f t="shared" si="4"/>
        <v>9</v>
      </c>
      <c r="E5" s="11">
        <f t="shared" si="5"/>
        <v>21</v>
      </c>
      <c r="F5" s="11">
        <f t="shared" si="6"/>
        <v>20</v>
      </c>
      <c r="G5" s="11">
        <f t="shared" si="7"/>
        <v>19</v>
      </c>
      <c r="H5" s="11">
        <f t="shared" si="8"/>
        <v>41</v>
      </c>
      <c r="I5" s="3" t="s">
        <v>14</v>
      </c>
      <c r="J5" s="3" t="s">
        <v>14</v>
      </c>
      <c r="K5" s="3" t="s">
        <v>14</v>
      </c>
      <c r="L5" s="3" t="s">
        <v>14</v>
      </c>
      <c r="M5" s="3" t="s">
        <v>14</v>
      </c>
      <c r="N5" s="3" t="s">
        <v>14</v>
      </c>
      <c r="O5" s="3" t="s">
        <v>14</v>
      </c>
      <c r="P5" s="3" t="s">
        <v>14</v>
      </c>
      <c r="Q5" s="3">
        <v>0</v>
      </c>
      <c r="R5" s="3">
        <v>3</v>
      </c>
      <c r="S5" s="3">
        <v>0</v>
      </c>
      <c r="T5" s="3">
        <v>3</v>
      </c>
      <c r="U5" s="3">
        <v>3</v>
      </c>
      <c r="V5" s="3">
        <v>3</v>
      </c>
      <c r="W5" s="3">
        <v>0</v>
      </c>
      <c r="X5" s="3">
        <v>0</v>
      </c>
      <c r="Y5" s="3">
        <v>3</v>
      </c>
      <c r="Z5" s="3">
        <v>1</v>
      </c>
      <c r="AA5" s="3">
        <v>3</v>
      </c>
      <c r="AB5" s="3">
        <v>3</v>
      </c>
      <c r="AC5" s="3">
        <v>1</v>
      </c>
      <c r="AD5" s="3">
        <v>3</v>
      </c>
      <c r="AE5" s="3">
        <v>1</v>
      </c>
      <c r="AF5" s="3">
        <v>3</v>
      </c>
      <c r="AG5" s="3">
        <v>0</v>
      </c>
      <c r="AH5" s="3">
        <v>0</v>
      </c>
      <c r="AI5" s="3">
        <v>1</v>
      </c>
      <c r="AJ5" s="3">
        <v>3</v>
      </c>
      <c r="AK5" s="3">
        <v>1</v>
      </c>
      <c r="AL5" s="3">
        <v>3</v>
      </c>
      <c r="AM5" s="3">
        <v>3</v>
      </c>
      <c r="AN5" s="3">
        <v>3</v>
      </c>
      <c r="AO5" s="3">
        <v>0</v>
      </c>
      <c r="AP5" s="3">
        <v>0</v>
      </c>
      <c r="AQ5" s="3">
        <v>0</v>
      </c>
      <c r="AR5" s="3" t="s">
        <v>19</v>
      </c>
      <c r="AS5" s="3">
        <v>3</v>
      </c>
      <c r="AT5" s="3">
        <v>3</v>
      </c>
      <c r="AU5" s="3">
        <v>0</v>
      </c>
      <c r="AV5" s="3">
        <v>0</v>
      </c>
      <c r="AW5" s="3">
        <v>0</v>
      </c>
      <c r="AX5" s="3">
        <v>1</v>
      </c>
      <c r="AY5" s="3">
        <v>0</v>
      </c>
      <c r="AZ5" s="3">
        <v>3</v>
      </c>
      <c r="BA5" s="3">
        <v>3</v>
      </c>
      <c r="BB5" s="3">
        <v>3</v>
      </c>
      <c r="BC5" s="3">
        <v>3</v>
      </c>
      <c r="BD5" s="3">
        <v>0</v>
      </c>
      <c r="BE5" s="3">
        <v>3</v>
      </c>
      <c r="BF5" s="3">
        <v>3</v>
      </c>
      <c r="BG5" s="3"/>
      <c r="BH5" s="3"/>
    </row>
    <row r="6" spans="2:60">
      <c r="B6" s="2" t="s">
        <v>17</v>
      </c>
      <c r="C6" s="6">
        <f t="shared" si="3"/>
        <v>59</v>
      </c>
      <c r="D6" s="11">
        <f t="shared" si="4"/>
        <v>33</v>
      </c>
      <c r="E6" s="11">
        <f t="shared" si="5"/>
        <v>18</v>
      </c>
      <c r="F6" s="11">
        <f t="shared" si="6"/>
        <v>8</v>
      </c>
      <c r="G6" s="11">
        <f t="shared" si="7"/>
        <v>0</v>
      </c>
      <c r="H6" s="11">
        <f t="shared" si="8"/>
        <v>36</v>
      </c>
      <c r="I6" s="3">
        <v>3</v>
      </c>
      <c r="J6" s="3">
        <v>3</v>
      </c>
      <c r="K6" s="3">
        <v>3</v>
      </c>
      <c r="L6" s="3">
        <v>3</v>
      </c>
      <c r="M6" s="3">
        <v>3</v>
      </c>
      <c r="N6" s="3">
        <v>3</v>
      </c>
      <c r="O6" s="3">
        <v>3</v>
      </c>
      <c r="P6" s="3">
        <v>3</v>
      </c>
      <c r="Q6" s="3">
        <v>3</v>
      </c>
      <c r="R6" s="3">
        <v>0</v>
      </c>
      <c r="S6" s="3">
        <v>3</v>
      </c>
      <c r="T6" s="3">
        <v>3</v>
      </c>
      <c r="U6" s="3">
        <v>0</v>
      </c>
      <c r="V6" s="3" t="s">
        <v>19</v>
      </c>
      <c r="W6" s="3" t="s">
        <v>19</v>
      </c>
      <c r="X6" s="3">
        <v>3</v>
      </c>
      <c r="Y6" s="3">
        <v>0</v>
      </c>
      <c r="Z6" s="3">
        <v>1</v>
      </c>
      <c r="AA6" s="3">
        <v>3</v>
      </c>
      <c r="AB6" s="3">
        <v>3</v>
      </c>
      <c r="AC6" s="3">
        <v>1</v>
      </c>
      <c r="AD6" s="3">
        <v>0</v>
      </c>
      <c r="AE6" s="3">
        <v>1</v>
      </c>
      <c r="AF6" s="3">
        <v>3</v>
      </c>
      <c r="AG6" s="3">
        <v>0</v>
      </c>
      <c r="AH6" s="3">
        <v>3</v>
      </c>
      <c r="AI6" s="3">
        <v>1</v>
      </c>
      <c r="AJ6" s="3">
        <v>0</v>
      </c>
      <c r="AK6" s="3">
        <v>1</v>
      </c>
      <c r="AL6" s="3">
        <v>0</v>
      </c>
      <c r="AM6" s="3">
        <v>3</v>
      </c>
      <c r="AN6" s="3">
        <v>0</v>
      </c>
      <c r="AO6" s="3">
        <v>3</v>
      </c>
      <c r="AP6" s="3">
        <v>0</v>
      </c>
      <c r="AQ6" s="3">
        <v>0</v>
      </c>
      <c r="AR6" s="3" t="s">
        <v>19</v>
      </c>
      <c r="AS6" s="3" t="s">
        <v>19</v>
      </c>
      <c r="AT6" s="3" t="s">
        <v>19</v>
      </c>
      <c r="AU6" s="3" t="s">
        <v>19</v>
      </c>
      <c r="AV6" s="3">
        <v>0</v>
      </c>
      <c r="AW6" s="3" t="s">
        <v>19</v>
      </c>
      <c r="AX6" s="3" t="s">
        <v>19</v>
      </c>
      <c r="AY6" s="3">
        <v>0</v>
      </c>
      <c r="AZ6" s="3">
        <v>0</v>
      </c>
      <c r="BA6" s="3" t="s">
        <v>19</v>
      </c>
      <c r="BB6" s="3" t="s">
        <v>19</v>
      </c>
      <c r="BC6" s="3" t="s">
        <v>19</v>
      </c>
      <c r="BD6" s="3" t="s">
        <v>19</v>
      </c>
      <c r="BE6" s="3" t="s">
        <v>19</v>
      </c>
      <c r="BF6" s="3" t="s">
        <v>19</v>
      </c>
      <c r="BG6" s="3"/>
      <c r="BH6" s="3"/>
    </row>
    <row r="7" spans="2:60">
      <c r="B7" s="2" t="s">
        <v>3</v>
      </c>
      <c r="C7" s="6">
        <f t="shared" si="3"/>
        <v>57</v>
      </c>
      <c r="D7" s="11">
        <f t="shared" si="4"/>
        <v>21</v>
      </c>
      <c r="E7" s="11">
        <f t="shared" si="5"/>
        <v>15</v>
      </c>
      <c r="F7" s="11">
        <f t="shared" si="6"/>
        <v>8</v>
      </c>
      <c r="G7" s="11">
        <f t="shared" si="7"/>
        <v>13</v>
      </c>
      <c r="H7" s="11">
        <f t="shared" si="8"/>
        <v>44</v>
      </c>
      <c r="I7" s="3">
        <v>3</v>
      </c>
      <c r="J7" s="3">
        <v>0</v>
      </c>
      <c r="K7" s="3">
        <v>3</v>
      </c>
      <c r="L7" s="3">
        <v>3</v>
      </c>
      <c r="M7" s="3">
        <v>3</v>
      </c>
      <c r="N7" s="3">
        <v>0</v>
      </c>
      <c r="O7" s="3">
        <v>3</v>
      </c>
      <c r="P7" s="3">
        <v>3</v>
      </c>
      <c r="Q7" s="3">
        <v>0</v>
      </c>
      <c r="R7" s="3">
        <v>3</v>
      </c>
      <c r="S7" s="3">
        <v>0</v>
      </c>
      <c r="T7" s="3">
        <v>0</v>
      </c>
      <c r="U7" s="3">
        <v>0</v>
      </c>
      <c r="V7" s="3">
        <v>0</v>
      </c>
      <c r="W7" s="3">
        <v>3</v>
      </c>
      <c r="X7" s="3">
        <v>0</v>
      </c>
      <c r="Y7" s="3">
        <v>3</v>
      </c>
      <c r="Z7" s="3">
        <v>1</v>
      </c>
      <c r="AA7" s="3">
        <v>3</v>
      </c>
      <c r="AB7" s="3">
        <v>0</v>
      </c>
      <c r="AC7" s="3">
        <v>1</v>
      </c>
      <c r="AD7" s="3">
        <v>0</v>
      </c>
      <c r="AE7" s="3">
        <v>1</v>
      </c>
      <c r="AF7" s="3">
        <v>3</v>
      </c>
      <c r="AG7" s="3">
        <v>0</v>
      </c>
      <c r="AH7" s="3" t="s">
        <v>19</v>
      </c>
      <c r="AI7" s="3">
        <v>1</v>
      </c>
      <c r="AJ7" s="3">
        <v>3</v>
      </c>
      <c r="AK7" s="3">
        <v>1</v>
      </c>
      <c r="AL7" s="3">
        <v>0</v>
      </c>
      <c r="AM7" s="3">
        <v>3</v>
      </c>
      <c r="AN7" s="3">
        <v>0</v>
      </c>
      <c r="AO7" s="3">
        <v>0</v>
      </c>
      <c r="AP7" s="3" t="s">
        <v>19</v>
      </c>
      <c r="AQ7" s="3" t="s">
        <v>19</v>
      </c>
      <c r="AR7" s="3" t="s">
        <v>19</v>
      </c>
      <c r="AS7" s="3" t="s">
        <v>19</v>
      </c>
      <c r="AT7" s="3">
        <v>0</v>
      </c>
      <c r="AU7" s="3">
        <v>0</v>
      </c>
      <c r="AV7" s="3">
        <v>3</v>
      </c>
      <c r="AW7" s="3">
        <v>0</v>
      </c>
      <c r="AX7" s="3">
        <v>1</v>
      </c>
      <c r="AY7" s="3">
        <v>0</v>
      </c>
      <c r="AZ7" s="3">
        <v>3</v>
      </c>
      <c r="BA7" s="3">
        <v>0</v>
      </c>
      <c r="BB7" s="3">
        <v>0</v>
      </c>
      <c r="BC7" s="3">
        <v>3</v>
      </c>
      <c r="BD7" s="3" t="s">
        <v>19</v>
      </c>
      <c r="BE7" s="3">
        <v>0</v>
      </c>
      <c r="BF7" s="3">
        <v>3</v>
      </c>
      <c r="BG7" s="3"/>
      <c r="BH7" s="3"/>
    </row>
    <row r="8" spans="2:60">
      <c r="B8" s="2" t="s">
        <v>5</v>
      </c>
      <c r="C8" s="6">
        <f t="shared" si="3"/>
        <v>54</v>
      </c>
      <c r="D8" s="11">
        <f t="shared" si="4"/>
        <v>15</v>
      </c>
      <c r="E8" s="11">
        <f t="shared" si="5"/>
        <v>12</v>
      </c>
      <c r="F8" s="11">
        <f t="shared" si="6"/>
        <v>23</v>
      </c>
      <c r="G8" s="11">
        <f t="shared" si="7"/>
        <v>4</v>
      </c>
      <c r="H8" s="11">
        <f t="shared" si="8"/>
        <v>46</v>
      </c>
      <c r="I8" s="3">
        <v>0</v>
      </c>
      <c r="J8" s="3">
        <v>0</v>
      </c>
      <c r="K8" s="3">
        <v>3</v>
      </c>
      <c r="L8" s="3" t="s">
        <v>19</v>
      </c>
      <c r="M8" s="3">
        <v>3</v>
      </c>
      <c r="N8" s="3">
        <v>0</v>
      </c>
      <c r="O8" s="3">
        <v>0</v>
      </c>
      <c r="P8" s="3">
        <v>3</v>
      </c>
      <c r="Q8" s="3">
        <v>0</v>
      </c>
      <c r="R8" s="3">
        <v>3</v>
      </c>
      <c r="S8" s="3">
        <v>0</v>
      </c>
      <c r="T8" s="3">
        <v>0</v>
      </c>
      <c r="U8" s="3">
        <v>3</v>
      </c>
      <c r="V8" s="3">
        <v>0</v>
      </c>
      <c r="W8" s="3">
        <v>3</v>
      </c>
      <c r="X8" s="3">
        <v>0</v>
      </c>
      <c r="Y8" s="3" t="s">
        <v>19</v>
      </c>
      <c r="Z8" s="3">
        <v>1</v>
      </c>
      <c r="AA8" s="3">
        <v>0</v>
      </c>
      <c r="AB8" s="3">
        <v>0</v>
      </c>
      <c r="AC8" s="3">
        <v>1</v>
      </c>
      <c r="AD8" s="3">
        <v>3</v>
      </c>
      <c r="AE8" s="3">
        <v>1</v>
      </c>
      <c r="AF8" s="3">
        <v>0</v>
      </c>
      <c r="AG8" s="3">
        <v>3</v>
      </c>
      <c r="AH8" s="3">
        <v>0</v>
      </c>
      <c r="AI8" s="3">
        <v>1</v>
      </c>
      <c r="AJ8" s="3">
        <v>3</v>
      </c>
      <c r="AK8" s="3">
        <v>1</v>
      </c>
      <c r="AL8" s="3">
        <v>0</v>
      </c>
      <c r="AM8" s="3">
        <v>0</v>
      </c>
      <c r="AN8" s="3">
        <v>3</v>
      </c>
      <c r="AO8" s="3">
        <v>3</v>
      </c>
      <c r="AP8" s="3">
        <v>3</v>
      </c>
      <c r="AQ8" s="3">
        <v>3</v>
      </c>
      <c r="AR8" s="3">
        <v>0</v>
      </c>
      <c r="AS8" s="3">
        <v>3</v>
      </c>
      <c r="AT8" s="3">
        <v>0</v>
      </c>
      <c r="AU8" s="3">
        <v>3</v>
      </c>
      <c r="AV8" s="3">
        <v>0</v>
      </c>
      <c r="AW8" s="3">
        <v>0</v>
      </c>
      <c r="AX8" s="3">
        <v>1</v>
      </c>
      <c r="AY8" s="3">
        <v>3</v>
      </c>
      <c r="AZ8" s="3">
        <v>0</v>
      </c>
      <c r="BA8" s="3" t="s">
        <v>19</v>
      </c>
      <c r="BB8" s="3">
        <v>0</v>
      </c>
      <c r="BC8" s="3">
        <v>0</v>
      </c>
      <c r="BD8" s="3" t="s">
        <v>19</v>
      </c>
      <c r="BE8" s="3">
        <v>0</v>
      </c>
      <c r="BF8" s="3">
        <v>0</v>
      </c>
      <c r="BG8" s="3"/>
      <c r="BH8" s="3"/>
    </row>
    <row r="9" spans="2:60">
      <c r="B9" s="2" t="s">
        <v>7</v>
      </c>
      <c r="C9" s="6">
        <f t="shared" si="3"/>
        <v>51</v>
      </c>
      <c r="D9" s="11">
        <f t="shared" si="4"/>
        <v>15</v>
      </c>
      <c r="E9" s="11">
        <f t="shared" si="5"/>
        <v>12</v>
      </c>
      <c r="F9" s="11">
        <f t="shared" si="6"/>
        <v>14</v>
      </c>
      <c r="G9" s="11">
        <f t="shared" si="7"/>
        <v>10</v>
      </c>
      <c r="H9" s="11">
        <f t="shared" si="8"/>
        <v>39</v>
      </c>
      <c r="I9" s="3">
        <v>3</v>
      </c>
      <c r="J9" s="3">
        <v>0</v>
      </c>
      <c r="K9" s="3">
        <v>0</v>
      </c>
      <c r="L9" s="3">
        <v>3</v>
      </c>
      <c r="M9" s="3">
        <v>0</v>
      </c>
      <c r="N9" s="3" t="s">
        <v>19</v>
      </c>
      <c r="O9" s="3">
        <v>0</v>
      </c>
      <c r="P9" s="3">
        <v>3</v>
      </c>
      <c r="Q9" s="3" t="s">
        <v>19</v>
      </c>
      <c r="R9" s="3">
        <v>3</v>
      </c>
      <c r="S9" s="3">
        <v>0</v>
      </c>
      <c r="T9" s="3">
        <v>3</v>
      </c>
      <c r="U9" s="3" t="s">
        <v>19</v>
      </c>
      <c r="V9" s="3" t="s">
        <v>19</v>
      </c>
      <c r="W9" s="3">
        <v>3</v>
      </c>
      <c r="X9" s="3">
        <v>3</v>
      </c>
      <c r="Y9" s="3">
        <v>0</v>
      </c>
      <c r="Z9" s="3">
        <v>1</v>
      </c>
      <c r="AA9" s="3">
        <v>0</v>
      </c>
      <c r="AB9" s="3">
        <v>0</v>
      </c>
      <c r="AC9" s="3">
        <v>1</v>
      </c>
      <c r="AD9" s="3">
        <v>3</v>
      </c>
      <c r="AE9" s="3">
        <v>1</v>
      </c>
      <c r="AF9" s="3">
        <v>0</v>
      </c>
      <c r="AG9" s="3">
        <v>0</v>
      </c>
      <c r="AH9" s="3" t="s">
        <v>19</v>
      </c>
      <c r="AI9" s="3">
        <v>1</v>
      </c>
      <c r="AJ9" s="3">
        <v>0</v>
      </c>
      <c r="AK9" s="3">
        <v>1</v>
      </c>
      <c r="AL9" s="3">
        <v>0</v>
      </c>
      <c r="AM9" s="3">
        <v>0</v>
      </c>
      <c r="AN9" s="3" t="s">
        <v>19</v>
      </c>
      <c r="AO9" s="3">
        <v>3</v>
      </c>
      <c r="AP9" s="3" t="s">
        <v>19</v>
      </c>
      <c r="AQ9" s="3">
        <v>0</v>
      </c>
      <c r="AR9" s="3" t="s">
        <v>19</v>
      </c>
      <c r="AS9" s="3">
        <v>3</v>
      </c>
      <c r="AT9" s="3">
        <v>3</v>
      </c>
      <c r="AU9" s="3">
        <v>3</v>
      </c>
      <c r="AV9" s="3">
        <v>0</v>
      </c>
      <c r="AW9" s="3">
        <v>3</v>
      </c>
      <c r="AX9" s="3">
        <v>1</v>
      </c>
      <c r="AY9" s="3">
        <v>3</v>
      </c>
      <c r="AZ9" s="3">
        <v>0</v>
      </c>
      <c r="BA9" s="3" t="s">
        <v>19</v>
      </c>
      <c r="BB9" s="3">
        <v>3</v>
      </c>
      <c r="BC9" s="3">
        <v>0</v>
      </c>
      <c r="BD9" s="3">
        <v>0</v>
      </c>
      <c r="BE9" s="3" t="s">
        <v>19</v>
      </c>
      <c r="BF9" s="3" t="s">
        <v>19</v>
      </c>
      <c r="BG9" s="3"/>
      <c r="BH9" s="3"/>
    </row>
    <row r="10" spans="2:60">
      <c r="B10" s="2" t="s">
        <v>9</v>
      </c>
      <c r="C10" s="6">
        <f t="shared" si="3"/>
        <v>51</v>
      </c>
      <c r="D10" s="11">
        <f t="shared" si="4"/>
        <v>15</v>
      </c>
      <c r="E10" s="11">
        <f t="shared" si="5"/>
        <v>12</v>
      </c>
      <c r="F10" s="11">
        <f t="shared" si="6"/>
        <v>8</v>
      </c>
      <c r="G10" s="11">
        <f t="shared" si="7"/>
        <v>16</v>
      </c>
      <c r="H10" s="11">
        <f t="shared" si="8"/>
        <v>40</v>
      </c>
      <c r="I10" s="3">
        <v>3</v>
      </c>
      <c r="J10" s="3">
        <v>3</v>
      </c>
      <c r="K10" s="3">
        <v>0</v>
      </c>
      <c r="L10" s="3">
        <v>0</v>
      </c>
      <c r="M10" s="3">
        <v>0</v>
      </c>
      <c r="N10" s="3">
        <v>3</v>
      </c>
      <c r="O10" s="3">
        <v>3</v>
      </c>
      <c r="P10" s="3" t="s">
        <v>19</v>
      </c>
      <c r="Q10" s="3" t="s">
        <v>19</v>
      </c>
      <c r="R10" s="3">
        <v>0</v>
      </c>
      <c r="S10" s="3">
        <v>0</v>
      </c>
      <c r="T10" s="3">
        <v>3</v>
      </c>
      <c r="U10" s="3">
        <v>0</v>
      </c>
      <c r="V10" s="3">
        <v>3</v>
      </c>
      <c r="W10" s="3">
        <v>0</v>
      </c>
      <c r="X10" s="3" t="s">
        <v>19</v>
      </c>
      <c r="Y10" s="3">
        <v>0</v>
      </c>
      <c r="Z10" s="3">
        <v>1</v>
      </c>
      <c r="AA10" s="3" t="s">
        <v>19</v>
      </c>
      <c r="AB10" s="3">
        <v>3</v>
      </c>
      <c r="AC10" s="3">
        <v>1</v>
      </c>
      <c r="AD10" s="3">
        <v>0</v>
      </c>
      <c r="AE10" s="3">
        <v>1</v>
      </c>
      <c r="AF10" s="3">
        <v>3</v>
      </c>
      <c r="AG10" s="3">
        <v>0</v>
      </c>
      <c r="AH10" s="3">
        <v>0</v>
      </c>
      <c r="AI10" s="3">
        <v>1</v>
      </c>
      <c r="AJ10" s="3">
        <v>0</v>
      </c>
      <c r="AK10" s="3">
        <v>1</v>
      </c>
      <c r="AL10" s="3">
        <v>3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 t="s">
        <v>19</v>
      </c>
      <c r="AS10" s="3" t="s">
        <v>19</v>
      </c>
      <c r="AT10" s="3" t="s">
        <v>19</v>
      </c>
      <c r="AU10" s="3">
        <v>3</v>
      </c>
      <c r="AV10" s="3">
        <v>3</v>
      </c>
      <c r="AW10" s="3" t="s">
        <v>19</v>
      </c>
      <c r="AX10" s="3">
        <v>1</v>
      </c>
      <c r="AY10" s="3">
        <v>3</v>
      </c>
      <c r="AZ10" s="3">
        <v>0</v>
      </c>
      <c r="BA10" s="3">
        <v>0</v>
      </c>
      <c r="BB10" s="3">
        <v>3</v>
      </c>
      <c r="BC10" s="3" t="s">
        <v>19</v>
      </c>
      <c r="BD10" s="3" t="s">
        <v>19</v>
      </c>
      <c r="BE10" s="3">
        <v>3</v>
      </c>
      <c r="BF10" s="3">
        <v>3</v>
      </c>
      <c r="BG10" s="3"/>
      <c r="BH10" s="3"/>
    </row>
    <row r="11" spans="2:60">
      <c r="B11" s="2" t="s">
        <v>8</v>
      </c>
      <c r="C11" s="6">
        <f t="shared" si="3"/>
        <v>50</v>
      </c>
      <c r="D11" s="11">
        <f t="shared" si="4"/>
        <v>12</v>
      </c>
      <c r="E11" s="11">
        <f t="shared" si="5"/>
        <v>12</v>
      </c>
      <c r="F11" s="11">
        <f t="shared" si="6"/>
        <v>16</v>
      </c>
      <c r="G11" s="11">
        <f t="shared" si="7"/>
        <v>10</v>
      </c>
      <c r="H11" s="11">
        <f t="shared" si="8"/>
        <v>29</v>
      </c>
      <c r="I11" s="3">
        <v>0</v>
      </c>
      <c r="J11" s="3" t="s">
        <v>19</v>
      </c>
      <c r="K11" s="3" t="s">
        <v>19</v>
      </c>
      <c r="L11" s="3">
        <v>3</v>
      </c>
      <c r="M11" s="3">
        <v>3</v>
      </c>
      <c r="N11" s="3">
        <v>3</v>
      </c>
      <c r="O11" s="3" t="s">
        <v>19</v>
      </c>
      <c r="P11" s="3">
        <v>0</v>
      </c>
      <c r="Q11" s="3" t="s">
        <v>19</v>
      </c>
      <c r="R11" s="3">
        <v>3</v>
      </c>
      <c r="S11" s="3">
        <v>0</v>
      </c>
      <c r="T11" s="3" t="s">
        <v>19</v>
      </c>
      <c r="U11" s="3" t="s">
        <v>19</v>
      </c>
      <c r="V11" s="3" t="s">
        <v>19</v>
      </c>
      <c r="W11" s="3">
        <v>3</v>
      </c>
      <c r="X11" s="3">
        <v>0</v>
      </c>
      <c r="Y11" s="3">
        <v>3</v>
      </c>
      <c r="Z11" s="3">
        <v>1</v>
      </c>
      <c r="AA11" s="3">
        <v>0</v>
      </c>
      <c r="AB11" s="3">
        <v>0</v>
      </c>
      <c r="AC11" s="3">
        <v>1</v>
      </c>
      <c r="AD11" s="3" t="s">
        <v>19</v>
      </c>
      <c r="AE11" s="3">
        <v>1</v>
      </c>
      <c r="AF11" s="3" t="s">
        <v>19</v>
      </c>
      <c r="AG11" s="3" t="s">
        <v>19</v>
      </c>
      <c r="AH11" s="3">
        <v>3</v>
      </c>
      <c r="AI11" s="3">
        <v>1</v>
      </c>
      <c r="AJ11" s="3" t="s">
        <v>19</v>
      </c>
      <c r="AK11" s="3" t="s">
        <v>19</v>
      </c>
      <c r="AL11" s="3">
        <v>3</v>
      </c>
      <c r="AM11" s="3">
        <v>0</v>
      </c>
      <c r="AN11" s="3">
        <v>3</v>
      </c>
      <c r="AO11" s="3" t="s">
        <v>19</v>
      </c>
      <c r="AP11" s="3">
        <v>3</v>
      </c>
      <c r="AQ11" s="3">
        <v>3</v>
      </c>
      <c r="AR11" s="3">
        <v>3</v>
      </c>
      <c r="AS11" s="3" t="s">
        <v>19</v>
      </c>
      <c r="AT11" s="3">
        <v>0</v>
      </c>
      <c r="AU11" s="3" t="s">
        <v>19</v>
      </c>
      <c r="AV11" s="3">
        <v>3</v>
      </c>
      <c r="AW11" s="3">
        <v>3</v>
      </c>
      <c r="AX11" s="3">
        <v>1</v>
      </c>
      <c r="AY11" s="3">
        <v>0</v>
      </c>
      <c r="AZ11" s="3" t="s">
        <v>19</v>
      </c>
      <c r="BA11" s="3">
        <v>3</v>
      </c>
      <c r="BB11" s="3" t="s">
        <v>19</v>
      </c>
      <c r="BC11" s="3" t="s">
        <v>19</v>
      </c>
      <c r="BD11" s="3" t="s">
        <v>19</v>
      </c>
      <c r="BE11" s="3" t="s">
        <v>19</v>
      </c>
      <c r="BF11" s="3" t="s">
        <v>19</v>
      </c>
      <c r="BG11" s="3"/>
      <c r="BH11" s="3"/>
    </row>
    <row r="12" spans="2:60">
      <c r="B12" s="2" t="s">
        <v>11</v>
      </c>
      <c r="C12" s="6">
        <f t="shared" si="3"/>
        <v>47</v>
      </c>
      <c r="D12" s="11">
        <f t="shared" si="4"/>
        <v>12</v>
      </c>
      <c r="E12" s="11">
        <f t="shared" si="5"/>
        <v>5</v>
      </c>
      <c r="F12" s="11">
        <f t="shared" si="6"/>
        <v>17</v>
      </c>
      <c r="G12" s="11">
        <f t="shared" si="7"/>
        <v>13</v>
      </c>
      <c r="H12" s="11">
        <f t="shared" si="8"/>
        <v>32</v>
      </c>
      <c r="I12" s="3">
        <v>3</v>
      </c>
      <c r="J12" s="3">
        <v>0</v>
      </c>
      <c r="K12" s="3">
        <v>3</v>
      </c>
      <c r="L12" s="3" t="s">
        <v>19</v>
      </c>
      <c r="M12" s="3">
        <v>0</v>
      </c>
      <c r="N12" s="3">
        <v>0</v>
      </c>
      <c r="O12" s="3" t="s">
        <v>19</v>
      </c>
      <c r="P12" s="3">
        <v>3</v>
      </c>
      <c r="Q12" s="3" t="s">
        <v>19</v>
      </c>
      <c r="R12" s="3">
        <v>3</v>
      </c>
      <c r="S12" s="3" t="s">
        <v>19</v>
      </c>
      <c r="T12" s="3" t="s">
        <v>19</v>
      </c>
      <c r="U12" s="3" t="s">
        <v>19</v>
      </c>
      <c r="V12" s="3" t="s">
        <v>19</v>
      </c>
      <c r="W12" s="3" t="s">
        <v>19</v>
      </c>
      <c r="X12" s="3" t="s">
        <v>19</v>
      </c>
      <c r="Y12" s="3" t="s">
        <v>19</v>
      </c>
      <c r="Z12" s="3" t="s">
        <v>19</v>
      </c>
      <c r="AA12" s="3" t="s">
        <v>19</v>
      </c>
      <c r="AB12" s="3">
        <v>3</v>
      </c>
      <c r="AC12" s="3">
        <v>1</v>
      </c>
      <c r="AD12" s="3">
        <v>0</v>
      </c>
      <c r="AE12" s="3">
        <v>1</v>
      </c>
      <c r="AF12" s="3">
        <v>0</v>
      </c>
      <c r="AG12" s="3" t="s">
        <v>19</v>
      </c>
      <c r="AH12" s="3">
        <v>0</v>
      </c>
      <c r="AI12" s="3">
        <v>1</v>
      </c>
      <c r="AJ12" s="3">
        <v>3</v>
      </c>
      <c r="AK12" s="3">
        <v>1</v>
      </c>
      <c r="AL12" s="3">
        <v>3</v>
      </c>
      <c r="AM12" s="3">
        <v>0</v>
      </c>
      <c r="AN12" s="3">
        <v>3</v>
      </c>
      <c r="AO12" s="3">
        <v>0</v>
      </c>
      <c r="AP12" s="3" t="s">
        <v>19</v>
      </c>
      <c r="AQ12" s="3">
        <v>3</v>
      </c>
      <c r="AR12" s="3">
        <v>0</v>
      </c>
      <c r="AS12" s="3" t="s">
        <v>19</v>
      </c>
      <c r="AT12" s="3">
        <v>3</v>
      </c>
      <c r="AU12" s="3">
        <v>0</v>
      </c>
      <c r="AV12" s="3">
        <v>0</v>
      </c>
      <c r="AW12" s="3">
        <v>3</v>
      </c>
      <c r="AX12" s="3">
        <v>1</v>
      </c>
      <c r="AY12" s="3">
        <v>3</v>
      </c>
      <c r="AZ12" s="3" t="s">
        <v>19</v>
      </c>
      <c r="BA12" s="3">
        <v>0</v>
      </c>
      <c r="BB12" s="3" t="s">
        <v>19</v>
      </c>
      <c r="BC12" s="3">
        <v>3</v>
      </c>
      <c r="BD12" s="3" t="s">
        <v>19</v>
      </c>
      <c r="BE12" s="3">
        <v>0</v>
      </c>
      <c r="BF12" s="3">
        <v>3</v>
      </c>
      <c r="BG12" s="3"/>
      <c r="BH12" s="3"/>
    </row>
    <row r="13" spans="2:60">
      <c r="B13" s="2" t="s">
        <v>15</v>
      </c>
      <c r="C13" s="6">
        <f t="shared" si="3"/>
        <v>45</v>
      </c>
      <c r="D13" s="11">
        <f t="shared" si="4"/>
        <v>12</v>
      </c>
      <c r="E13" s="11">
        <f t="shared" si="5"/>
        <v>14</v>
      </c>
      <c r="F13" s="11">
        <f t="shared" si="6"/>
        <v>16</v>
      </c>
      <c r="G13" s="11">
        <f t="shared" si="7"/>
        <v>3</v>
      </c>
      <c r="H13" s="11">
        <f t="shared" si="8"/>
        <v>28</v>
      </c>
      <c r="I13" s="3" t="s">
        <v>19</v>
      </c>
      <c r="J13" s="3" t="s">
        <v>19</v>
      </c>
      <c r="K13" s="3">
        <v>0</v>
      </c>
      <c r="L13" s="3" t="s">
        <v>19</v>
      </c>
      <c r="M13" s="3" t="s">
        <v>19</v>
      </c>
      <c r="N13" s="3">
        <v>3</v>
      </c>
      <c r="O13" s="3">
        <v>3</v>
      </c>
      <c r="P13" s="3">
        <v>3</v>
      </c>
      <c r="Q13" s="3" t="s">
        <v>19</v>
      </c>
      <c r="R13" s="3">
        <v>0</v>
      </c>
      <c r="S13" s="3">
        <v>3</v>
      </c>
      <c r="T13" s="3">
        <v>0</v>
      </c>
      <c r="U13" s="3" t="s">
        <v>19</v>
      </c>
      <c r="V13" s="3">
        <v>3</v>
      </c>
      <c r="W13" s="3">
        <v>0</v>
      </c>
      <c r="X13" s="3">
        <v>3</v>
      </c>
      <c r="Y13" s="3">
        <v>3</v>
      </c>
      <c r="Z13" s="3" t="s">
        <v>19</v>
      </c>
      <c r="AA13" s="3" t="s">
        <v>19</v>
      </c>
      <c r="AB13" s="3">
        <v>3</v>
      </c>
      <c r="AC13" s="3">
        <v>1</v>
      </c>
      <c r="AD13" s="3" t="s">
        <v>19</v>
      </c>
      <c r="AE13" s="3">
        <v>1</v>
      </c>
      <c r="AF13" s="3">
        <v>0</v>
      </c>
      <c r="AG13" s="3">
        <v>0</v>
      </c>
      <c r="AH13" s="3">
        <v>0</v>
      </c>
      <c r="AI13" s="3" t="s">
        <v>19</v>
      </c>
      <c r="AJ13" s="3">
        <v>0</v>
      </c>
      <c r="AK13" s="3">
        <v>1</v>
      </c>
      <c r="AL13" s="3">
        <v>3</v>
      </c>
      <c r="AM13" s="3">
        <v>3</v>
      </c>
      <c r="AN13" s="3">
        <v>3</v>
      </c>
      <c r="AO13" s="3">
        <v>3</v>
      </c>
      <c r="AP13" s="3">
        <v>0</v>
      </c>
      <c r="AQ13" s="3" t="s">
        <v>19</v>
      </c>
      <c r="AR13" s="3" t="s">
        <v>19</v>
      </c>
      <c r="AS13" s="3">
        <v>0</v>
      </c>
      <c r="AT13" s="3" t="s">
        <v>19</v>
      </c>
      <c r="AU13" s="3">
        <v>3</v>
      </c>
      <c r="AV13" s="3">
        <v>0</v>
      </c>
      <c r="AW13" s="3" t="s">
        <v>19</v>
      </c>
      <c r="AX13" s="3" t="s">
        <v>19</v>
      </c>
      <c r="AY13" s="3" t="s">
        <v>19</v>
      </c>
      <c r="AZ13" s="3" t="s">
        <v>19</v>
      </c>
      <c r="BA13" s="3" t="s">
        <v>19</v>
      </c>
      <c r="BB13" s="3">
        <v>3</v>
      </c>
      <c r="BC13" s="3" t="s">
        <v>19</v>
      </c>
      <c r="BD13" s="3" t="s">
        <v>19</v>
      </c>
      <c r="BE13" s="3" t="s">
        <v>19</v>
      </c>
      <c r="BF13" s="3" t="s">
        <v>19</v>
      </c>
      <c r="BG13" s="3"/>
      <c r="BH13" s="3"/>
    </row>
    <row r="14" spans="2:60">
      <c r="B14" s="2" t="s">
        <v>30</v>
      </c>
      <c r="C14" s="6">
        <f t="shared" si="3"/>
        <v>34</v>
      </c>
      <c r="D14" s="11">
        <f t="shared" si="4"/>
        <v>0</v>
      </c>
      <c r="E14" s="11">
        <f t="shared" si="5"/>
        <v>7</v>
      </c>
      <c r="F14" s="11">
        <f t="shared" si="6"/>
        <v>14</v>
      </c>
      <c r="G14" s="11">
        <f t="shared" si="7"/>
        <v>13</v>
      </c>
      <c r="H14" s="11">
        <f t="shared" si="8"/>
        <v>27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>
        <v>1</v>
      </c>
      <c r="AF14" s="3">
        <v>0</v>
      </c>
      <c r="AG14" s="3">
        <v>3</v>
      </c>
      <c r="AH14" s="3">
        <v>3</v>
      </c>
      <c r="AI14" s="3">
        <v>1</v>
      </c>
      <c r="AJ14" s="3">
        <v>0</v>
      </c>
      <c r="AK14" s="3">
        <v>1</v>
      </c>
      <c r="AL14" s="3">
        <v>0</v>
      </c>
      <c r="AM14" s="3">
        <v>3</v>
      </c>
      <c r="AN14" s="3">
        <v>0</v>
      </c>
      <c r="AO14" s="3">
        <v>0</v>
      </c>
      <c r="AP14" s="3">
        <v>3</v>
      </c>
      <c r="AQ14" s="3">
        <v>3</v>
      </c>
      <c r="AR14" s="3">
        <v>3</v>
      </c>
      <c r="AS14" s="3">
        <v>0</v>
      </c>
      <c r="AT14" s="3">
        <v>0</v>
      </c>
      <c r="AU14" s="3">
        <v>0</v>
      </c>
      <c r="AV14" s="3" t="s">
        <v>19</v>
      </c>
      <c r="AW14" s="3">
        <v>0</v>
      </c>
      <c r="AX14" s="3">
        <v>1</v>
      </c>
      <c r="AY14" s="3">
        <v>0</v>
      </c>
      <c r="AZ14" s="3">
        <v>3</v>
      </c>
      <c r="BA14" s="3">
        <v>0</v>
      </c>
      <c r="BB14" s="3">
        <v>3</v>
      </c>
      <c r="BC14" s="3">
        <v>3</v>
      </c>
      <c r="BD14" s="3">
        <v>3</v>
      </c>
      <c r="BE14" s="3">
        <v>0</v>
      </c>
      <c r="BF14" s="3">
        <v>0</v>
      </c>
      <c r="BG14" s="3"/>
      <c r="BH14" s="3"/>
    </row>
    <row r="15" spans="2:60">
      <c r="B15" s="10" t="s">
        <v>6</v>
      </c>
      <c r="C15" s="6">
        <f t="shared" si="3"/>
        <v>27</v>
      </c>
      <c r="D15" s="11">
        <f t="shared" si="4"/>
        <v>18</v>
      </c>
      <c r="E15" s="11">
        <f t="shared" si="5"/>
        <v>0</v>
      </c>
      <c r="F15" s="11">
        <f t="shared" si="6"/>
        <v>0</v>
      </c>
      <c r="G15" s="11">
        <f t="shared" si="7"/>
        <v>9</v>
      </c>
      <c r="H15" s="11">
        <f t="shared" si="8"/>
        <v>16</v>
      </c>
      <c r="I15" s="3">
        <v>0</v>
      </c>
      <c r="J15" s="3">
        <v>3</v>
      </c>
      <c r="K15" s="3">
        <v>3</v>
      </c>
      <c r="L15" s="3">
        <v>0</v>
      </c>
      <c r="M15" s="3">
        <v>3</v>
      </c>
      <c r="N15" s="3" t="s">
        <v>19</v>
      </c>
      <c r="O15" s="3">
        <v>3</v>
      </c>
      <c r="P15" s="3">
        <v>0</v>
      </c>
      <c r="Q15" s="3">
        <v>0</v>
      </c>
      <c r="R15" s="3" t="s">
        <v>19</v>
      </c>
      <c r="S15" s="3">
        <v>3</v>
      </c>
      <c r="T15" s="3">
        <v>3</v>
      </c>
      <c r="U15" s="3">
        <v>0</v>
      </c>
      <c r="V15" s="3">
        <v>0</v>
      </c>
      <c r="W15" s="3" t="s">
        <v>19</v>
      </c>
      <c r="X15" s="3" t="s">
        <v>19</v>
      </c>
      <c r="Y15" s="3" t="s">
        <v>19</v>
      </c>
      <c r="Z15" s="3" t="s">
        <v>19</v>
      </c>
      <c r="AA15" s="3" t="s">
        <v>19</v>
      </c>
      <c r="AB15" s="3" t="s">
        <v>19</v>
      </c>
      <c r="AC15" s="3" t="s">
        <v>19</v>
      </c>
      <c r="AD15" s="3" t="s">
        <v>19</v>
      </c>
      <c r="AE15" s="3" t="s">
        <v>19</v>
      </c>
      <c r="AF15" s="3" t="s">
        <v>19</v>
      </c>
      <c r="AG15" s="3" t="s">
        <v>19</v>
      </c>
      <c r="AH15" s="3" t="s">
        <v>19</v>
      </c>
      <c r="AI15" s="3" t="s">
        <v>19</v>
      </c>
      <c r="AJ15" s="3" t="s">
        <v>19</v>
      </c>
      <c r="AK15" s="3" t="s">
        <v>19</v>
      </c>
      <c r="AL15" s="3" t="s">
        <v>19</v>
      </c>
      <c r="AM15" s="3" t="s">
        <v>19</v>
      </c>
      <c r="AN15" s="3" t="s">
        <v>19</v>
      </c>
      <c r="AO15" s="3" t="s">
        <v>19</v>
      </c>
      <c r="AP15" s="3" t="s">
        <v>19</v>
      </c>
      <c r="AQ15" s="3" t="s">
        <v>19</v>
      </c>
      <c r="AR15" s="3" t="s">
        <v>19</v>
      </c>
      <c r="AS15" s="3" t="s">
        <v>19</v>
      </c>
      <c r="AT15" s="3" t="s">
        <v>19</v>
      </c>
      <c r="AU15" s="3" t="s">
        <v>19</v>
      </c>
      <c r="AV15" s="3" t="s">
        <v>19</v>
      </c>
      <c r="AW15" s="3" t="s">
        <v>19</v>
      </c>
      <c r="AX15" s="3" t="s">
        <v>19</v>
      </c>
      <c r="AY15" s="3" t="s">
        <v>19</v>
      </c>
      <c r="AZ15" s="3" t="s">
        <v>19</v>
      </c>
      <c r="BA15" s="3" t="s">
        <v>19</v>
      </c>
      <c r="BB15" s="3" t="s">
        <v>19</v>
      </c>
      <c r="BC15" s="3">
        <v>3</v>
      </c>
      <c r="BD15" s="3">
        <v>3</v>
      </c>
      <c r="BE15" s="3">
        <v>3</v>
      </c>
      <c r="BF15" s="3">
        <v>0</v>
      </c>
      <c r="BG15" s="3"/>
      <c r="BH15" s="3"/>
    </row>
    <row r="16" spans="2:60">
      <c r="B16" s="9" t="s">
        <v>13</v>
      </c>
      <c r="C16" s="6">
        <f t="shared" si="3"/>
        <v>22</v>
      </c>
      <c r="D16" s="11">
        <f t="shared" si="4"/>
        <v>0</v>
      </c>
      <c r="E16" s="11">
        <f t="shared" si="5"/>
        <v>8</v>
      </c>
      <c r="F16" s="11">
        <f t="shared" si="6"/>
        <v>14</v>
      </c>
      <c r="G16" s="11">
        <f t="shared" si="7"/>
        <v>0</v>
      </c>
      <c r="H16" s="11">
        <f t="shared" si="8"/>
        <v>20</v>
      </c>
      <c r="I16" s="3" t="s">
        <v>19</v>
      </c>
      <c r="J16" s="3">
        <v>0</v>
      </c>
      <c r="K16" s="3">
        <v>0</v>
      </c>
      <c r="L16" s="3" t="s">
        <v>19</v>
      </c>
      <c r="M16" s="3" t="s">
        <v>19</v>
      </c>
      <c r="N16" s="3">
        <v>0</v>
      </c>
      <c r="O16" s="3" t="s">
        <v>19</v>
      </c>
      <c r="P16" s="3" t="s">
        <v>19</v>
      </c>
      <c r="Q16" s="3" t="s">
        <v>19</v>
      </c>
      <c r="R16" s="3" t="s">
        <v>19</v>
      </c>
      <c r="S16" s="3" t="s">
        <v>19</v>
      </c>
      <c r="T16" s="3" t="s">
        <v>19</v>
      </c>
      <c r="U16" s="3" t="s">
        <v>19</v>
      </c>
      <c r="V16" s="3" t="s">
        <v>19</v>
      </c>
      <c r="W16" s="3" t="s">
        <v>19</v>
      </c>
      <c r="X16" s="3" t="s">
        <v>19</v>
      </c>
      <c r="Y16" s="3" t="s">
        <v>19</v>
      </c>
      <c r="Z16" s="3" t="s">
        <v>19</v>
      </c>
      <c r="AA16" s="3">
        <v>0</v>
      </c>
      <c r="AB16" s="3">
        <v>0</v>
      </c>
      <c r="AC16" s="3">
        <v>1</v>
      </c>
      <c r="AD16" s="3">
        <v>3</v>
      </c>
      <c r="AE16" s="3">
        <v>1</v>
      </c>
      <c r="AF16" s="3" t="s">
        <v>19</v>
      </c>
      <c r="AG16" s="3" t="s">
        <v>19</v>
      </c>
      <c r="AH16" s="3">
        <v>3</v>
      </c>
      <c r="AI16" s="3">
        <v>1</v>
      </c>
      <c r="AJ16" s="3" t="s">
        <v>19</v>
      </c>
      <c r="AK16" s="3">
        <v>1</v>
      </c>
      <c r="AL16" s="3" t="s">
        <v>19</v>
      </c>
      <c r="AM16" s="3">
        <v>3</v>
      </c>
      <c r="AN16" s="3">
        <v>3</v>
      </c>
      <c r="AO16" s="3">
        <v>3</v>
      </c>
      <c r="AP16" s="3">
        <v>0</v>
      </c>
      <c r="AQ16" s="3">
        <v>0</v>
      </c>
      <c r="AR16" s="3" t="s">
        <v>19</v>
      </c>
      <c r="AS16" s="3">
        <v>0</v>
      </c>
      <c r="AT16" s="3">
        <v>3</v>
      </c>
      <c r="AU16" s="3">
        <v>0</v>
      </c>
      <c r="AV16" s="3" t="s">
        <v>19</v>
      </c>
      <c r="AW16" s="3" t="s">
        <v>19</v>
      </c>
      <c r="AX16" s="3" t="s">
        <v>19</v>
      </c>
      <c r="AY16" s="3">
        <v>0</v>
      </c>
      <c r="AZ16" s="3" t="s">
        <v>19</v>
      </c>
      <c r="BA16" s="3" t="s">
        <v>19</v>
      </c>
      <c r="BB16" s="3" t="s">
        <v>19</v>
      </c>
      <c r="BC16" s="3" t="s">
        <v>19</v>
      </c>
      <c r="BD16" s="3" t="s">
        <v>19</v>
      </c>
      <c r="BE16" s="3" t="s">
        <v>19</v>
      </c>
      <c r="BF16" s="3" t="s">
        <v>19</v>
      </c>
      <c r="BG16" s="3"/>
      <c r="BH16" s="3"/>
    </row>
    <row r="17" spans="2:60">
      <c r="B17" s="13" t="s">
        <v>33</v>
      </c>
      <c r="C17" s="6">
        <f t="shared" si="3"/>
        <v>17</v>
      </c>
      <c r="D17" s="11">
        <v>0</v>
      </c>
      <c r="E17" s="11">
        <v>0</v>
      </c>
      <c r="F17" s="11">
        <f t="shared" si="6"/>
        <v>0</v>
      </c>
      <c r="G17" s="11">
        <f t="shared" si="7"/>
        <v>17</v>
      </c>
      <c r="H17" s="11">
        <f t="shared" si="8"/>
        <v>9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>
        <v>3</v>
      </c>
      <c r="AW17" s="3">
        <v>3</v>
      </c>
      <c r="AX17" s="3">
        <v>-1</v>
      </c>
      <c r="AY17" s="3" t="s">
        <v>19</v>
      </c>
      <c r="AZ17" s="3">
        <v>3</v>
      </c>
      <c r="BA17" s="3">
        <v>3</v>
      </c>
      <c r="BB17" s="3">
        <v>0</v>
      </c>
      <c r="BC17" s="3">
        <v>3</v>
      </c>
      <c r="BD17" s="3">
        <v>3</v>
      </c>
      <c r="BE17" s="3" t="s">
        <v>19</v>
      </c>
      <c r="BF17" s="3">
        <v>0</v>
      </c>
      <c r="BG17" s="3"/>
      <c r="BH17" s="3"/>
    </row>
    <row r="18" spans="2:60">
      <c r="B18" s="12" t="s">
        <v>34</v>
      </c>
      <c r="C18" s="6">
        <f t="shared" si="3"/>
        <v>6</v>
      </c>
      <c r="D18" s="11">
        <f>SUM(I18:U18)</f>
        <v>0</v>
      </c>
      <c r="E18" s="11">
        <f>SUM(V18:AH18)</f>
        <v>0</v>
      </c>
      <c r="F18" s="11">
        <f t="shared" si="6"/>
        <v>0</v>
      </c>
      <c r="G18" s="11">
        <f t="shared" si="7"/>
        <v>6</v>
      </c>
      <c r="H18" s="11">
        <f t="shared" si="8"/>
        <v>6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>
        <v>3</v>
      </c>
      <c r="AW18" s="3">
        <v>0</v>
      </c>
      <c r="AX18" s="3" t="s">
        <v>19</v>
      </c>
      <c r="AY18" s="3">
        <v>3</v>
      </c>
      <c r="AZ18" s="3">
        <v>0</v>
      </c>
      <c r="BA18" s="3">
        <v>0</v>
      </c>
      <c r="BB18" s="3">
        <v>0</v>
      </c>
      <c r="BC18" s="3" t="s">
        <v>19</v>
      </c>
      <c r="BD18" s="3" t="s">
        <v>19</v>
      </c>
      <c r="BE18" s="3" t="s">
        <v>19</v>
      </c>
      <c r="BF18" s="3" t="s">
        <v>19</v>
      </c>
      <c r="BG18" s="3"/>
      <c r="BH18" s="3"/>
    </row>
    <row r="19" spans="2:60">
      <c r="B19" s="4" t="s">
        <v>21</v>
      </c>
      <c r="C19" s="7" t="s">
        <v>1</v>
      </c>
      <c r="D19" s="7" t="s">
        <v>27</v>
      </c>
      <c r="E19" s="7" t="s">
        <v>29</v>
      </c>
      <c r="F19" s="7" t="s">
        <v>31</v>
      </c>
      <c r="G19" s="7" t="s">
        <v>32</v>
      </c>
      <c r="H19" s="7" t="s">
        <v>4</v>
      </c>
      <c r="I19" s="5">
        <v>45661</v>
      </c>
      <c r="J19" s="5">
        <v>45668</v>
      </c>
      <c r="K19" s="5">
        <v>45675</v>
      </c>
      <c r="L19" s="5">
        <v>45682</v>
      </c>
      <c r="M19" s="5">
        <v>45689</v>
      </c>
      <c r="N19" s="5">
        <v>45696</v>
      </c>
      <c r="O19" s="5">
        <v>45703</v>
      </c>
      <c r="P19" s="5">
        <v>45710</v>
      </c>
      <c r="Q19" s="5">
        <v>45717</v>
      </c>
      <c r="R19" s="5">
        <v>45724</v>
      </c>
      <c r="S19" s="5">
        <v>45731</v>
      </c>
      <c r="T19" s="5">
        <v>45738</v>
      </c>
      <c r="U19" s="5">
        <v>45745</v>
      </c>
      <c r="V19" s="5">
        <v>45752</v>
      </c>
      <c r="W19" s="5">
        <v>45759</v>
      </c>
      <c r="X19" s="5">
        <v>45766</v>
      </c>
      <c r="Y19" s="5">
        <v>45773</v>
      </c>
      <c r="Z19" s="5">
        <v>45779</v>
      </c>
      <c r="AA19" s="5">
        <f>AA3</f>
        <v>45787</v>
      </c>
      <c r="AB19" s="5">
        <f>AB3</f>
        <v>45794</v>
      </c>
      <c r="AC19" s="5">
        <f>AC3</f>
        <v>45801</v>
      </c>
      <c r="AD19" s="5">
        <f>AD3</f>
        <v>45808</v>
      </c>
      <c r="AE19" s="5">
        <f>AE3</f>
        <v>45815</v>
      </c>
      <c r="AF19" s="5">
        <f t="shared" ref="AF19" si="9">AE19+7</f>
        <v>45822</v>
      </c>
      <c r="AG19" s="5">
        <f t="shared" ref="AG19" si="10">AF19+7</f>
        <v>45829</v>
      </c>
      <c r="AH19" s="5">
        <v>45836</v>
      </c>
      <c r="AI19" s="5">
        <f>AH19+7</f>
        <v>45843</v>
      </c>
      <c r="AJ19" s="5">
        <f t="shared" ref="AJ19" si="11">AI19+7</f>
        <v>45850</v>
      </c>
      <c r="AK19" s="5">
        <f t="shared" ref="AK19" si="12">AJ19+7</f>
        <v>45857</v>
      </c>
      <c r="AL19" s="5">
        <f>AK19+7</f>
        <v>45864</v>
      </c>
      <c r="AM19" s="5">
        <f t="shared" ref="AM19:AO19" si="13">AL19+7</f>
        <v>45871</v>
      </c>
      <c r="AN19" s="5">
        <f t="shared" si="13"/>
        <v>45878</v>
      </c>
      <c r="AO19" s="5">
        <f t="shared" si="13"/>
        <v>45885</v>
      </c>
      <c r="AP19" s="5">
        <f t="shared" ref="AP19" si="14">AO19+7</f>
        <v>45892</v>
      </c>
      <c r="AQ19" s="5">
        <f t="shared" ref="AQ19" si="15">AP19+7</f>
        <v>45899</v>
      </c>
      <c r="AR19" s="5">
        <f t="shared" ref="AR19" si="16">AQ19+7</f>
        <v>45906</v>
      </c>
      <c r="AS19" s="5">
        <f t="shared" ref="AS19" si="17">AR19+7</f>
        <v>45913</v>
      </c>
      <c r="AT19" s="5">
        <f t="shared" ref="AT19" si="18">AS19+7</f>
        <v>45920</v>
      </c>
      <c r="AU19" s="5">
        <f t="shared" ref="AU19" si="19">AT19+7</f>
        <v>45927</v>
      </c>
      <c r="AV19" s="5">
        <v>45934</v>
      </c>
      <c r="AW19" s="5">
        <f>AV19+7</f>
        <v>45941</v>
      </c>
      <c r="AX19" s="5">
        <f t="shared" ref="AX19:BH19" si="20">AW19+7</f>
        <v>45948</v>
      </c>
      <c r="AY19" s="5">
        <f t="shared" si="20"/>
        <v>45955</v>
      </c>
      <c r="AZ19" s="5">
        <f t="shared" si="20"/>
        <v>45962</v>
      </c>
      <c r="BA19" s="5">
        <f t="shared" si="20"/>
        <v>45969</v>
      </c>
      <c r="BB19" s="5">
        <f t="shared" si="20"/>
        <v>45976</v>
      </c>
      <c r="BC19" s="5">
        <f t="shared" si="20"/>
        <v>45983</v>
      </c>
      <c r="BD19" s="5">
        <f t="shared" si="20"/>
        <v>45990</v>
      </c>
      <c r="BE19" s="5">
        <f t="shared" si="20"/>
        <v>45997</v>
      </c>
      <c r="BF19" s="5">
        <f t="shared" si="20"/>
        <v>46004</v>
      </c>
      <c r="BG19" s="5">
        <f t="shared" si="20"/>
        <v>46011</v>
      </c>
      <c r="BH19" s="5">
        <f t="shared" si="20"/>
        <v>46018</v>
      </c>
    </row>
    <row r="20" spans="2:60">
      <c r="B20" s="2" t="s">
        <v>16</v>
      </c>
      <c r="C20" s="6">
        <f>SUM(I20:BH20)</f>
        <v>59</v>
      </c>
      <c r="D20" s="11">
        <f>SUM(I20:U20)</f>
        <v>3</v>
      </c>
      <c r="E20" s="11">
        <f>SUM(V20:AH20)</f>
        <v>23</v>
      </c>
      <c r="F20" s="11">
        <f>SUM(AI20:AU20)</f>
        <v>14</v>
      </c>
      <c r="G20" s="11">
        <f>SUM(AV20:BH20)</f>
        <v>19</v>
      </c>
      <c r="H20" s="6">
        <f>COUNT(I20:BH20)</f>
        <v>32</v>
      </c>
      <c r="I20" s="3" t="s">
        <v>14</v>
      </c>
      <c r="J20" s="3" t="s">
        <v>14</v>
      </c>
      <c r="K20" s="3">
        <v>3</v>
      </c>
      <c r="L20" s="3" t="s">
        <v>19</v>
      </c>
      <c r="M20" s="3" t="s">
        <v>19</v>
      </c>
      <c r="N20" s="3" t="s">
        <v>19</v>
      </c>
      <c r="O20" s="3" t="s">
        <v>19</v>
      </c>
      <c r="P20" s="3" t="s">
        <v>19</v>
      </c>
      <c r="Q20" s="3" t="s">
        <v>19</v>
      </c>
      <c r="R20" s="3" t="s">
        <v>19</v>
      </c>
      <c r="S20" s="3" t="s">
        <v>19</v>
      </c>
      <c r="T20" s="3" t="s">
        <v>19</v>
      </c>
      <c r="U20" s="3" t="s">
        <v>19</v>
      </c>
      <c r="V20" s="3">
        <v>3</v>
      </c>
      <c r="W20" s="3" t="s">
        <v>19</v>
      </c>
      <c r="X20" s="3">
        <v>0</v>
      </c>
      <c r="Y20" s="3">
        <v>3</v>
      </c>
      <c r="Z20" s="3">
        <v>1</v>
      </c>
      <c r="AA20" s="3">
        <v>3</v>
      </c>
      <c r="AB20" s="3">
        <v>3</v>
      </c>
      <c r="AC20" s="3">
        <v>1</v>
      </c>
      <c r="AD20" s="3">
        <v>3</v>
      </c>
      <c r="AE20" s="3" t="s">
        <v>19</v>
      </c>
      <c r="AF20" s="3">
        <v>3</v>
      </c>
      <c r="AG20" s="3">
        <v>0</v>
      </c>
      <c r="AH20" s="3">
        <v>3</v>
      </c>
      <c r="AI20" s="3">
        <v>1</v>
      </c>
      <c r="AJ20" s="3">
        <v>0</v>
      </c>
      <c r="AK20" s="3">
        <v>1</v>
      </c>
      <c r="AL20" s="3">
        <v>0</v>
      </c>
      <c r="AM20" s="3">
        <v>0</v>
      </c>
      <c r="AN20" s="3">
        <v>0</v>
      </c>
      <c r="AO20" s="3">
        <v>3</v>
      </c>
      <c r="AP20" s="3" t="s">
        <v>19</v>
      </c>
      <c r="AQ20" s="3">
        <v>3</v>
      </c>
      <c r="AR20" s="3">
        <v>3</v>
      </c>
      <c r="AS20" s="3">
        <v>0</v>
      </c>
      <c r="AT20" s="3">
        <v>3</v>
      </c>
      <c r="AU20" s="3">
        <v>0</v>
      </c>
      <c r="AV20" s="3">
        <v>3</v>
      </c>
      <c r="AW20" s="3" t="s">
        <v>19</v>
      </c>
      <c r="AX20" s="3">
        <v>1</v>
      </c>
      <c r="AY20" s="3">
        <v>3</v>
      </c>
      <c r="AZ20" s="3">
        <v>0</v>
      </c>
      <c r="BA20" s="3" t="s">
        <v>19</v>
      </c>
      <c r="BB20" s="3">
        <v>3</v>
      </c>
      <c r="BC20" s="3">
        <v>3</v>
      </c>
      <c r="BD20" s="3" t="s">
        <v>19</v>
      </c>
      <c r="BE20" s="3">
        <v>3</v>
      </c>
      <c r="BF20" s="3">
        <v>3</v>
      </c>
      <c r="BG20" s="3"/>
      <c r="BH20" s="3"/>
    </row>
    <row r="21" spans="2:60">
      <c r="B21" s="2" t="s">
        <v>22</v>
      </c>
      <c r="C21" s="6">
        <f>SUM(I21:BH21)</f>
        <v>56</v>
      </c>
      <c r="D21" s="11">
        <f>SUM(I21:U21)</f>
        <v>18</v>
      </c>
      <c r="E21" s="11">
        <f>SUM(V21:AH21)</f>
        <v>8</v>
      </c>
      <c r="F21" s="11">
        <f>SUM(AI21:AU21)</f>
        <v>17</v>
      </c>
      <c r="G21" s="11">
        <f>SUM(AV21:BH21)</f>
        <v>13</v>
      </c>
      <c r="H21" s="6">
        <f>COUNT(I21:BH21)</f>
        <v>32</v>
      </c>
      <c r="I21" s="3" t="s">
        <v>14</v>
      </c>
      <c r="J21" s="3" t="s">
        <v>14</v>
      </c>
      <c r="K21" s="3" t="s">
        <v>14</v>
      </c>
      <c r="L21" s="3" t="s">
        <v>14</v>
      </c>
      <c r="M21" s="3" t="s">
        <v>14</v>
      </c>
      <c r="N21" s="3" t="s">
        <v>14</v>
      </c>
      <c r="O21" s="3" t="s">
        <v>14</v>
      </c>
      <c r="P21" s="3">
        <v>3</v>
      </c>
      <c r="Q21" s="3">
        <v>3</v>
      </c>
      <c r="R21" s="3">
        <v>3</v>
      </c>
      <c r="S21" s="3">
        <v>3</v>
      </c>
      <c r="T21" s="3">
        <v>3</v>
      </c>
      <c r="U21" s="3">
        <v>3</v>
      </c>
      <c r="V21" s="3">
        <v>0</v>
      </c>
      <c r="W21" s="3">
        <v>3</v>
      </c>
      <c r="X21" s="3" t="s">
        <v>19</v>
      </c>
      <c r="Y21" s="3">
        <v>0</v>
      </c>
      <c r="Z21" s="3" t="s">
        <v>19</v>
      </c>
      <c r="AA21" s="3">
        <v>0</v>
      </c>
      <c r="AB21" s="3" t="s">
        <v>19</v>
      </c>
      <c r="AC21" s="3">
        <v>1</v>
      </c>
      <c r="AD21" s="3">
        <v>0</v>
      </c>
      <c r="AE21" s="3">
        <v>1</v>
      </c>
      <c r="AF21" s="3" t="s">
        <v>19</v>
      </c>
      <c r="AG21" s="3">
        <v>3</v>
      </c>
      <c r="AH21" s="3" t="s">
        <v>19</v>
      </c>
      <c r="AI21" s="3">
        <v>1</v>
      </c>
      <c r="AJ21" s="3">
        <v>3</v>
      </c>
      <c r="AK21" s="3">
        <v>1</v>
      </c>
      <c r="AL21" s="3">
        <v>3</v>
      </c>
      <c r="AM21" s="3" t="s">
        <v>19</v>
      </c>
      <c r="AN21" s="3">
        <v>3</v>
      </c>
      <c r="AO21" s="3">
        <v>0</v>
      </c>
      <c r="AP21" s="3">
        <v>0</v>
      </c>
      <c r="AQ21" s="3" t="s">
        <v>19</v>
      </c>
      <c r="AR21" s="3">
        <v>0</v>
      </c>
      <c r="AS21" s="3">
        <v>3</v>
      </c>
      <c r="AT21" s="3" t="s">
        <v>19</v>
      </c>
      <c r="AU21" s="3">
        <v>3</v>
      </c>
      <c r="AV21" s="3">
        <v>0</v>
      </c>
      <c r="AW21" s="3">
        <v>3</v>
      </c>
      <c r="AX21" s="3">
        <v>1</v>
      </c>
      <c r="AY21" s="3" t="s">
        <v>19</v>
      </c>
      <c r="AZ21" s="3">
        <v>3</v>
      </c>
      <c r="BA21" s="3">
        <v>3</v>
      </c>
      <c r="BB21" s="3">
        <v>0</v>
      </c>
      <c r="BC21" s="3" t="s">
        <v>19</v>
      </c>
      <c r="BD21" s="3">
        <v>3</v>
      </c>
      <c r="BE21" s="3" t="s">
        <v>19</v>
      </c>
      <c r="BF21" s="3">
        <v>0</v>
      </c>
      <c r="BG21" s="3"/>
      <c r="BH21" s="3"/>
    </row>
    <row r="22" spans="2:60">
      <c r="B22" s="2" t="s">
        <v>12</v>
      </c>
      <c r="C22" s="6">
        <f>SUM(I22:BH22)</f>
        <v>9</v>
      </c>
      <c r="D22" s="11">
        <f>SUM(I22:U22)</f>
        <v>6</v>
      </c>
      <c r="E22" s="11">
        <f>SUM(V22:AH22)</f>
        <v>3</v>
      </c>
      <c r="F22" s="11">
        <f>SUM(AI22:AU22)</f>
        <v>0</v>
      </c>
      <c r="G22" s="11">
        <f>SUM(AV22:BH22)</f>
        <v>0</v>
      </c>
      <c r="H22" s="6">
        <f>COUNT(I22:BH22)</f>
        <v>16</v>
      </c>
      <c r="I22" s="3">
        <v>3</v>
      </c>
      <c r="J22" s="3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 t="s">
        <v>19</v>
      </c>
      <c r="R22" s="3">
        <v>0</v>
      </c>
      <c r="S22" s="3" t="s">
        <v>19</v>
      </c>
      <c r="T22" s="3">
        <v>0</v>
      </c>
      <c r="U22" s="3">
        <v>0</v>
      </c>
      <c r="V22" s="3" t="s">
        <v>19</v>
      </c>
      <c r="W22" s="3">
        <v>0</v>
      </c>
      <c r="X22" s="3">
        <v>3</v>
      </c>
      <c r="Y22" s="3" t="s">
        <v>19</v>
      </c>
      <c r="Z22" s="3" t="s">
        <v>19</v>
      </c>
      <c r="AA22" s="3" t="s">
        <v>19</v>
      </c>
      <c r="AB22" s="3" t="s">
        <v>19</v>
      </c>
      <c r="AC22" s="3" t="s">
        <v>19</v>
      </c>
      <c r="AD22" s="3" t="s">
        <v>19</v>
      </c>
      <c r="AE22" s="3" t="s">
        <v>19</v>
      </c>
      <c r="AF22" s="3">
        <v>0</v>
      </c>
      <c r="AG22" s="3" t="s">
        <v>19</v>
      </c>
      <c r="AH22" s="3" t="s">
        <v>19</v>
      </c>
      <c r="AI22" s="3" t="s">
        <v>19</v>
      </c>
      <c r="AJ22" s="3" t="s">
        <v>19</v>
      </c>
      <c r="AK22" s="3" t="s">
        <v>19</v>
      </c>
      <c r="AL22" s="3" t="s">
        <v>19</v>
      </c>
      <c r="AM22" s="3" t="s">
        <v>19</v>
      </c>
      <c r="AN22" s="3" t="s">
        <v>19</v>
      </c>
      <c r="AO22" s="3">
        <v>0</v>
      </c>
      <c r="AP22" s="3" t="s">
        <v>19</v>
      </c>
      <c r="AQ22" s="3" t="s">
        <v>19</v>
      </c>
      <c r="AR22" s="3" t="s">
        <v>19</v>
      </c>
      <c r="AS22" s="3" t="s">
        <v>19</v>
      </c>
      <c r="AT22" s="3">
        <v>0</v>
      </c>
      <c r="AU22" s="3" t="s">
        <v>19</v>
      </c>
      <c r="AV22" s="3" t="s">
        <v>19</v>
      </c>
      <c r="AW22" s="3" t="s">
        <v>19</v>
      </c>
      <c r="AX22" s="3" t="s">
        <v>19</v>
      </c>
      <c r="AY22" s="3" t="s">
        <v>19</v>
      </c>
      <c r="AZ22" s="3" t="s">
        <v>19</v>
      </c>
      <c r="BA22" s="3" t="s">
        <v>19</v>
      </c>
      <c r="BB22" s="3" t="s">
        <v>19</v>
      </c>
      <c r="BC22" s="3" t="s">
        <v>19</v>
      </c>
      <c r="BD22" s="3" t="s">
        <v>19</v>
      </c>
      <c r="BE22" s="3" t="s">
        <v>19</v>
      </c>
      <c r="BF22" s="3" t="s">
        <v>19</v>
      </c>
      <c r="BG22" s="3"/>
      <c r="BH22" s="3"/>
    </row>
    <row r="23" spans="2:60">
      <c r="B23" s="2" t="s">
        <v>2</v>
      </c>
      <c r="C23" s="6">
        <f>SUM(I23:BH23)</f>
        <v>6</v>
      </c>
      <c r="D23" s="11">
        <f>SUM(I23:U23)</f>
        <v>6</v>
      </c>
      <c r="E23" s="11">
        <f>SUM(V23:AH23)</f>
        <v>0</v>
      </c>
      <c r="F23" s="11">
        <f>SUM(AI23:AU23)</f>
        <v>0</v>
      </c>
      <c r="G23" s="11">
        <f>SUM(AV23:BH23)</f>
        <v>0</v>
      </c>
      <c r="H23" s="6">
        <f>COUNT(I23:BH23)</f>
        <v>8</v>
      </c>
      <c r="I23" s="3">
        <v>0</v>
      </c>
      <c r="J23" s="3">
        <v>0</v>
      </c>
      <c r="K23" s="3" t="s">
        <v>19</v>
      </c>
      <c r="L23" s="3">
        <v>3</v>
      </c>
      <c r="M23" s="3">
        <v>3</v>
      </c>
      <c r="N23" s="3" t="s">
        <v>19</v>
      </c>
      <c r="O23" s="3" t="s">
        <v>19</v>
      </c>
      <c r="P23" s="3" t="s">
        <v>19</v>
      </c>
      <c r="Q23" s="3" t="s">
        <v>19</v>
      </c>
      <c r="R23" s="3" t="s">
        <v>19</v>
      </c>
      <c r="S23" s="3" t="s">
        <v>19</v>
      </c>
      <c r="T23" s="3" t="s">
        <v>19</v>
      </c>
      <c r="U23" s="3" t="s">
        <v>19</v>
      </c>
      <c r="V23" s="3" t="s">
        <v>19</v>
      </c>
      <c r="W23" s="3">
        <v>0</v>
      </c>
      <c r="X23" s="3">
        <v>0</v>
      </c>
      <c r="Y23" s="3" t="s">
        <v>19</v>
      </c>
      <c r="Z23" s="3" t="s">
        <v>19</v>
      </c>
      <c r="AA23" s="3" t="s">
        <v>19</v>
      </c>
      <c r="AB23" s="3" t="s">
        <v>19</v>
      </c>
      <c r="AC23" s="3" t="s">
        <v>19</v>
      </c>
      <c r="AD23" s="3" t="s">
        <v>19</v>
      </c>
      <c r="AE23" s="3" t="s">
        <v>19</v>
      </c>
      <c r="AF23" s="3" t="s">
        <v>19</v>
      </c>
      <c r="AG23" s="3" t="s">
        <v>19</v>
      </c>
      <c r="AH23" s="3" t="s">
        <v>19</v>
      </c>
      <c r="AI23" s="3" t="s">
        <v>19</v>
      </c>
      <c r="AJ23" s="3" t="s">
        <v>19</v>
      </c>
      <c r="AK23" s="3" t="s">
        <v>19</v>
      </c>
      <c r="AL23" s="3" t="s">
        <v>19</v>
      </c>
      <c r="AM23" s="3" t="s">
        <v>19</v>
      </c>
      <c r="AN23" s="3" t="s">
        <v>19</v>
      </c>
      <c r="AO23" s="3">
        <v>0</v>
      </c>
      <c r="AP23" s="3" t="s">
        <v>19</v>
      </c>
      <c r="AQ23" s="3" t="s">
        <v>19</v>
      </c>
      <c r="AR23" s="3" t="s">
        <v>19</v>
      </c>
      <c r="AS23" s="3" t="s">
        <v>19</v>
      </c>
      <c r="AT23" s="3">
        <v>0</v>
      </c>
      <c r="AU23" s="3" t="s">
        <v>19</v>
      </c>
      <c r="AV23" s="3" t="s">
        <v>19</v>
      </c>
      <c r="AW23" s="3" t="s">
        <v>19</v>
      </c>
      <c r="AX23" s="3" t="s">
        <v>19</v>
      </c>
      <c r="AY23" s="3" t="s">
        <v>19</v>
      </c>
      <c r="AZ23" s="3" t="s">
        <v>19</v>
      </c>
      <c r="BA23" s="3" t="s">
        <v>19</v>
      </c>
      <c r="BB23" s="3" t="s">
        <v>19</v>
      </c>
      <c r="BC23" s="3" t="s">
        <v>19</v>
      </c>
      <c r="BD23" s="3" t="s">
        <v>19</v>
      </c>
      <c r="BE23" s="3" t="s">
        <v>19</v>
      </c>
      <c r="BF23" s="3" t="s">
        <v>19</v>
      </c>
      <c r="BG23" s="3"/>
      <c r="BH23" s="3"/>
    </row>
    <row r="24" spans="2:60" ht="7.5" customHeight="1">
      <c r="V24" s="1" t="s">
        <v>28</v>
      </c>
    </row>
    <row r="25" spans="2:60" ht="7.5" customHeight="1"/>
    <row r="26" spans="2:60" ht="7.5" customHeight="1"/>
    <row r="27" spans="2:60" ht="7.5" customHeight="1"/>
    <row r="28" spans="2:60" ht="7.5" customHeight="1"/>
    <row r="29" spans="2:60" ht="7.5" customHeight="1"/>
    <row r="30" spans="2:60" ht="7.5" customHeight="1"/>
    <row r="31" spans="2:60" ht="7.5" customHeight="1"/>
    <row r="32" spans="2:60" ht="7.5" customHeight="1"/>
    <row r="33" spans="2:10" ht="7.5" customHeight="1"/>
    <row r="34" spans="2:10" ht="7.5" customHeight="1"/>
    <row r="35" spans="2:10" ht="7.5" customHeight="1"/>
    <row r="36" spans="2:10" ht="7.5" customHeight="1"/>
    <row r="37" spans="2:10" ht="7.5" customHeight="1"/>
    <row r="38" spans="2:10" ht="7.5" customHeight="1"/>
    <row r="39" spans="2:10" ht="7.5" customHeight="1"/>
    <row r="40" spans="2:10" ht="7.5" customHeight="1"/>
    <row r="41" spans="2:10" ht="7.5" customHeight="1"/>
    <row r="42" spans="2:10" ht="7.5" customHeight="1"/>
    <row r="43" spans="2:10" ht="7.5" customHeight="1"/>
    <row r="44" spans="2:10" ht="7.5" customHeight="1"/>
    <row r="45" spans="2:10" ht="7.5" customHeight="1"/>
    <row r="46" spans="2:10">
      <c r="B46" s="15" t="s">
        <v>23</v>
      </c>
      <c r="C46" s="15"/>
      <c r="D46" s="15"/>
      <c r="E46" s="15"/>
      <c r="F46" s="15"/>
      <c r="G46" s="15"/>
      <c r="H46" s="15"/>
      <c r="I46" s="15"/>
      <c r="J46" s="15"/>
    </row>
    <row r="47" spans="2:10" ht="30" customHeight="1">
      <c r="B47" s="8" t="s">
        <v>24</v>
      </c>
      <c r="C47" s="16" t="str">
        <f>B4</f>
        <v>Maicon</v>
      </c>
      <c r="D47" s="16"/>
      <c r="E47" s="16"/>
      <c r="F47" s="16"/>
      <c r="G47" s="16"/>
      <c r="H47" s="16"/>
      <c r="I47" s="17"/>
      <c r="J47" s="18"/>
    </row>
    <row r="48" spans="2:10" ht="30" customHeight="1">
      <c r="B48" s="8" t="s">
        <v>25</v>
      </c>
      <c r="C48" s="16" t="str">
        <f>B20</f>
        <v>Ivan</v>
      </c>
      <c r="D48" s="16"/>
      <c r="E48" s="16"/>
      <c r="F48" s="16"/>
      <c r="G48" s="16"/>
      <c r="H48" s="16"/>
      <c r="I48" s="19"/>
      <c r="J48" s="20"/>
    </row>
    <row r="49" ht="6.75" customHeight="1"/>
  </sheetData>
  <sortState ref="B20:BH23">
    <sortCondition descending="1" ref="C20:C23"/>
  </sortState>
  <mergeCells count="5">
    <mergeCell ref="B2:BH2"/>
    <mergeCell ref="B46:J46"/>
    <mergeCell ref="C47:H47"/>
    <mergeCell ref="I47:J48"/>
    <mergeCell ref="C48:H48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E24 E19:F19 D5:G18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1E9A1-0650-4526-8818-93833A813349}">
  <dimension ref="B1:BJ40"/>
  <sheetViews>
    <sheetView showGridLines="0" tabSelected="1" zoomScale="110" zoomScaleNormal="110" workbookViewId="0">
      <selection activeCell="A29" sqref="A29:XFD29"/>
    </sheetView>
  </sheetViews>
  <sheetFormatPr defaultColWidth="9" defaultRowHeight="14.1" customHeight="1"/>
  <cols>
    <col min="1" max="1" width="1.85546875" style="1" customWidth="1"/>
    <col min="2" max="2" width="25.7109375" style="1" customWidth="1"/>
    <col min="3" max="3" width="18.140625" style="1" customWidth="1"/>
    <col min="4" max="7" width="7.7109375" style="1" customWidth="1"/>
    <col min="8" max="8" width="7.140625" style="1" bestFit="1" customWidth="1"/>
    <col min="9" max="9" width="5.28515625" style="1" hidden="1" customWidth="1"/>
    <col min="10" max="13" width="6.28515625" style="1" hidden="1" customWidth="1"/>
    <col min="14" max="14" width="5.28515625" style="1" hidden="1" customWidth="1"/>
    <col min="15" max="18" width="6.28515625" style="1" hidden="1" customWidth="1"/>
    <col min="19" max="19" width="6" style="1" hidden="1" customWidth="1"/>
    <col min="20" max="22" width="7" style="1" hidden="1" customWidth="1"/>
    <col min="23" max="23" width="5.5703125" style="1" hidden="1" customWidth="1"/>
    <col min="24" max="26" width="6.5703125" style="1" hidden="1" customWidth="1"/>
    <col min="27" max="28" width="5.85546875" style="1" hidden="1" customWidth="1"/>
    <col min="29" max="31" width="6.85546875" style="1" hidden="1" customWidth="1"/>
    <col min="32" max="32" width="5.140625" style="1" hidden="1" customWidth="1"/>
    <col min="33" max="35" width="6.140625" style="1" hidden="1" customWidth="1"/>
    <col min="36" max="36" width="4.5703125" style="1" bestFit="1" customWidth="1"/>
    <col min="37" max="39" width="5.5703125" style="1" bestFit="1" customWidth="1"/>
    <col min="40" max="41" width="6.140625" style="1" bestFit="1" customWidth="1"/>
    <col min="42" max="44" width="7.140625" style="1" bestFit="1" customWidth="1"/>
    <col min="45" max="45" width="5" style="1" bestFit="1" customWidth="1"/>
    <col min="46" max="48" width="6" style="1" bestFit="1" customWidth="1"/>
    <col min="49" max="49" width="5.28515625" style="1" hidden="1" customWidth="1"/>
    <col min="50" max="53" width="6.28515625" style="1" hidden="1" customWidth="1"/>
    <col min="54" max="54" width="5.85546875" style="1" hidden="1" customWidth="1"/>
    <col min="55" max="57" width="6.85546875" style="1" hidden="1" customWidth="1"/>
    <col min="58" max="58" width="5.85546875" style="1" hidden="1" customWidth="1"/>
    <col min="59" max="61" width="6.85546875" style="1" hidden="1" customWidth="1"/>
    <col min="62" max="62" width="2" style="1" hidden="1" customWidth="1"/>
    <col min="63" max="63" width="2.42578125" style="1" customWidth="1"/>
    <col min="64" max="16384" width="9" style="1"/>
  </cols>
  <sheetData>
    <row r="1" spans="2:61" ht="6" customHeight="1"/>
    <row r="2" spans="2:61" ht="20.100000000000001" customHeight="1">
      <c r="B2" s="22" t="s">
        <v>37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</row>
    <row r="3" spans="2:61" ht="14.1" customHeight="1">
      <c r="B3" s="4" t="s">
        <v>0</v>
      </c>
      <c r="C3" s="7" t="s">
        <v>26</v>
      </c>
      <c r="D3" s="7" t="s">
        <v>27</v>
      </c>
      <c r="E3" s="7" t="s">
        <v>29</v>
      </c>
      <c r="F3" s="7" t="s">
        <v>31</v>
      </c>
      <c r="G3" s="7" t="s">
        <v>32</v>
      </c>
      <c r="H3" s="7" t="s">
        <v>4</v>
      </c>
      <c r="I3" s="5">
        <v>46025</v>
      </c>
      <c r="J3" s="5">
        <f>I3+7</f>
        <v>46032</v>
      </c>
      <c r="K3" s="5">
        <f t="shared" ref="K3:BH3" si="0">J3+7</f>
        <v>46039</v>
      </c>
      <c r="L3" s="5">
        <f t="shared" si="0"/>
        <v>46046</v>
      </c>
      <c r="M3" s="5">
        <f t="shared" si="0"/>
        <v>46053</v>
      </c>
      <c r="N3" s="5">
        <f t="shared" si="0"/>
        <v>46060</v>
      </c>
      <c r="O3" s="5">
        <f t="shared" si="0"/>
        <v>46067</v>
      </c>
      <c r="P3" s="5">
        <v>46070</v>
      </c>
      <c r="Q3" s="5">
        <f>O3+7</f>
        <v>46074</v>
      </c>
      <c r="R3" s="5">
        <f t="shared" si="0"/>
        <v>46081</v>
      </c>
      <c r="S3" s="5">
        <f t="shared" si="0"/>
        <v>46088</v>
      </c>
      <c r="T3" s="5">
        <f t="shared" si="0"/>
        <v>46095</v>
      </c>
      <c r="U3" s="5">
        <f t="shared" si="0"/>
        <v>46102</v>
      </c>
      <c r="V3" s="5">
        <f t="shared" si="0"/>
        <v>46109</v>
      </c>
      <c r="W3" s="5">
        <f t="shared" si="0"/>
        <v>46116</v>
      </c>
      <c r="X3" s="5">
        <f t="shared" si="0"/>
        <v>46123</v>
      </c>
      <c r="Y3" s="5">
        <f t="shared" si="0"/>
        <v>46130</v>
      </c>
      <c r="Z3" s="5">
        <f t="shared" si="0"/>
        <v>46137</v>
      </c>
      <c r="AA3" s="5">
        <f t="shared" si="0"/>
        <v>46144</v>
      </c>
      <c r="AB3" s="5">
        <f t="shared" si="0"/>
        <v>46151</v>
      </c>
      <c r="AC3" s="5">
        <f t="shared" si="0"/>
        <v>46158</v>
      </c>
      <c r="AD3" s="5">
        <f t="shared" si="0"/>
        <v>46165</v>
      </c>
      <c r="AE3" s="5">
        <f t="shared" si="0"/>
        <v>46172</v>
      </c>
      <c r="AF3" s="5">
        <f t="shared" si="0"/>
        <v>46179</v>
      </c>
      <c r="AG3" s="5">
        <f t="shared" si="0"/>
        <v>46186</v>
      </c>
      <c r="AH3" s="5">
        <f t="shared" si="0"/>
        <v>46193</v>
      </c>
      <c r="AI3" s="5">
        <f t="shared" si="0"/>
        <v>46200</v>
      </c>
      <c r="AJ3" s="5">
        <f t="shared" si="0"/>
        <v>46207</v>
      </c>
      <c r="AK3" s="5">
        <f t="shared" si="0"/>
        <v>46214</v>
      </c>
      <c r="AL3" s="5">
        <f t="shared" si="0"/>
        <v>46221</v>
      </c>
      <c r="AM3" s="5">
        <f t="shared" si="0"/>
        <v>46228</v>
      </c>
      <c r="AN3" s="5">
        <f t="shared" si="0"/>
        <v>46235</v>
      </c>
      <c r="AO3" s="5">
        <f t="shared" si="0"/>
        <v>46242</v>
      </c>
      <c r="AP3" s="5">
        <f t="shared" si="0"/>
        <v>46249</v>
      </c>
      <c r="AQ3" s="5">
        <f t="shared" si="0"/>
        <v>46256</v>
      </c>
      <c r="AR3" s="5">
        <f t="shared" si="0"/>
        <v>46263</v>
      </c>
      <c r="AS3" s="5">
        <f t="shared" si="0"/>
        <v>46270</v>
      </c>
      <c r="AT3" s="5">
        <f t="shared" si="0"/>
        <v>46277</v>
      </c>
      <c r="AU3" s="5">
        <f t="shared" si="0"/>
        <v>46284</v>
      </c>
      <c r="AV3" s="5">
        <f t="shared" si="0"/>
        <v>46291</v>
      </c>
      <c r="AW3" s="5">
        <f t="shared" si="0"/>
        <v>46298</v>
      </c>
      <c r="AX3" s="5">
        <f t="shared" si="0"/>
        <v>46305</v>
      </c>
      <c r="AY3" s="5">
        <f t="shared" si="0"/>
        <v>46312</v>
      </c>
      <c r="AZ3" s="5">
        <f t="shared" si="0"/>
        <v>46319</v>
      </c>
      <c r="BA3" s="5">
        <f t="shared" si="0"/>
        <v>46326</v>
      </c>
      <c r="BB3" s="5">
        <f t="shared" si="0"/>
        <v>46333</v>
      </c>
      <c r="BC3" s="5">
        <f t="shared" si="0"/>
        <v>46340</v>
      </c>
      <c r="BD3" s="5">
        <f t="shared" si="0"/>
        <v>46347</v>
      </c>
      <c r="BE3" s="5">
        <f t="shared" si="0"/>
        <v>46354</v>
      </c>
      <c r="BF3" s="5">
        <f t="shared" si="0"/>
        <v>46361</v>
      </c>
      <c r="BG3" s="5">
        <f t="shared" si="0"/>
        <v>46368</v>
      </c>
      <c r="BH3" s="5">
        <f t="shared" si="0"/>
        <v>46375</v>
      </c>
      <c r="BI3" s="5">
        <f t="shared" ref="BI3" si="1">BH3+7</f>
        <v>46382</v>
      </c>
    </row>
    <row r="4" spans="2:61" ht="14.1" customHeight="1">
      <c r="B4" s="14" t="s">
        <v>40</v>
      </c>
      <c r="C4" s="6">
        <f>SUM(I4:BI4)</f>
        <v>53</v>
      </c>
      <c r="D4" s="11">
        <f>SUM(I4:V4)</f>
        <v>29</v>
      </c>
      <c r="E4" s="11">
        <f>SUM(W4:AI4)</f>
        <v>24</v>
      </c>
      <c r="F4" s="11">
        <f>SUM(AJ4:AV4)</f>
        <v>0</v>
      </c>
      <c r="G4" s="11">
        <f>SUM(AW4:BI4)</f>
        <v>0</v>
      </c>
      <c r="H4" s="11">
        <f>COUNT(I4:BI4)</f>
        <v>24</v>
      </c>
      <c r="I4" s="3">
        <v>3</v>
      </c>
      <c r="J4" s="3">
        <v>3</v>
      </c>
      <c r="K4" s="3">
        <v>1</v>
      </c>
      <c r="L4" s="3">
        <v>3</v>
      </c>
      <c r="M4" s="3">
        <v>3</v>
      </c>
      <c r="N4" s="3">
        <v>3</v>
      </c>
      <c r="O4" s="3">
        <v>0</v>
      </c>
      <c r="P4" s="3">
        <v>1</v>
      </c>
      <c r="Q4" s="3">
        <v>3</v>
      </c>
      <c r="R4" s="3">
        <v>3</v>
      </c>
      <c r="S4" s="3" t="s">
        <v>19</v>
      </c>
      <c r="T4" s="3">
        <v>3</v>
      </c>
      <c r="U4" s="3" t="s">
        <v>19</v>
      </c>
      <c r="V4" s="3">
        <v>3</v>
      </c>
      <c r="W4" s="3">
        <v>3</v>
      </c>
      <c r="X4" s="3">
        <v>3</v>
      </c>
      <c r="Y4" s="3">
        <v>0</v>
      </c>
      <c r="Z4" s="3" t="s">
        <v>19</v>
      </c>
      <c r="AA4" s="3" t="s">
        <v>19</v>
      </c>
      <c r="AB4" s="3">
        <v>3</v>
      </c>
      <c r="AC4" s="3">
        <v>0</v>
      </c>
      <c r="AD4" s="3">
        <v>3</v>
      </c>
      <c r="AE4" s="3">
        <v>3</v>
      </c>
      <c r="AF4" s="3">
        <v>0</v>
      </c>
      <c r="AG4" s="3">
        <v>3</v>
      </c>
      <c r="AH4" s="3">
        <v>3</v>
      </c>
      <c r="AI4" s="3">
        <v>3</v>
      </c>
      <c r="AJ4" s="3" t="s">
        <v>19</v>
      </c>
      <c r="AK4" s="3">
        <v>0</v>
      </c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</row>
    <row r="5" spans="2:61" ht="14.1" customHeight="1">
      <c r="B5" s="14" t="s">
        <v>9</v>
      </c>
      <c r="C5" s="6">
        <f>SUM(I5:BI5)</f>
        <v>37</v>
      </c>
      <c r="D5" s="11">
        <f>SUM(I5:V5)</f>
        <v>16</v>
      </c>
      <c r="E5" s="11">
        <f>SUM(W5:AI5)</f>
        <v>21</v>
      </c>
      <c r="F5" s="11">
        <f>SUM(AJ5:AV5)</f>
        <v>0</v>
      </c>
      <c r="G5" s="11">
        <f>SUM(AW5:BI5)</f>
        <v>0</v>
      </c>
      <c r="H5" s="11">
        <f>COUNT(I5:BI5)</f>
        <v>25</v>
      </c>
      <c r="I5" s="3" t="s">
        <v>19</v>
      </c>
      <c r="J5" s="3">
        <v>3</v>
      </c>
      <c r="K5" s="3">
        <v>1</v>
      </c>
      <c r="L5" s="3">
        <v>0</v>
      </c>
      <c r="M5" s="3">
        <v>3</v>
      </c>
      <c r="N5" s="3">
        <v>0</v>
      </c>
      <c r="O5" s="3" t="s">
        <v>19</v>
      </c>
      <c r="P5" s="3" t="s">
        <v>19</v>
      </c>
      <c r="Q5" s="3">
        <v>0</v>
      </c>
      <c r="R5" s="3">
        <v>0</v>
      </c>
      <c r="S5" s="3">
        <v>3</v>
      </c>
      <c r="T5" s="3">
        <v>3</v>
      </c>
      <c r="U5" s="3">
        <v>3</v>
      </c>
      <c r="V5" s="3">
        <v>0</v>
      </c>
      <c r="W5" s="3">
        <v>3</v>
      </c>
      <c r="X5" s="3">
        <v>0</v>
      </c>
      <c r="Y5" s="3">
        <v>0</v>
      </c>
      <c r="Z5" s="3">
        <v>0</v>
      </c>
      <c r="AA5" s="3">
        <v>3</v>
      </c>
      <c r="AB5" s="3" t="s">
        <v>19</v>
      </c>
      <c r="AC5" s="3">
        <v>3</v>
      </c>
      <c r="AD5" s="3">
        <v>0</v>
      </c>
      <c r="AE5" s="3">
        <v>3</v>
      </c>
      <c r="AF5" s="3">
        <v>3</v>
      </c>
      <c r="AG5" s="3">
        <v>0</v>
      </c>
      <c r="AH5" s="3">
        <v>3</v>
      </c>
      <c r="AI5" s="3">
        <v>3</v>
      </c>
      <c r="AJ5" s="3">
        <v>0</v>
      </c>
      <c r="AK5" s="3">
        <v>0</v>
      </c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</row>
    <row r="6" spans="2:61" ht="14.1" customHeight="1">
      <c r="B6" s="14" t="s">
        <v>33</v>
      </c>
      <c r="C6" s="6">
        <f>SUM(I6:BI6)</f>
        <v>37</v>
      </c>
      <c r="D6" s="11">
        <f>SUM(I6:V6)</f>
        <v>16</v>
      </c>
      <c r="E6" s="11">
        <f>SUM(W6:AI6)</f>
        <v>18</v>
      </c>
      <c r="F6" s="11">
        <f>SUM(AJ6:AV6)</f>
        <v>3</v>
      </c>
      <c r="G6" s="11">
        <f>SUM(AW6:BI6)</f>
        <v>0</v>
      </c>
      <c r="H6" s="11">
        <f>COUNT(I6:BI6)</f>
        <v>24</v>
      </c>
      <c r="I6" s="3" t="s">
        <v>19</v>
      </c>
      <c r="J6" s="3">
        <v>3</v>
      </c>
      <c r="K6" s="3">
        <v>1</v>
      </c>
      <c r="L6" s="3">
        <v>0</v>
      </c>
      <c r="M6" s="3">
        <v>0</v>
      </c>
      <c r="N6" s="3">
        <v>3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3</v>
      </c>
      <c r="U6" s="3">
        <v>3</v>
      </c>
      <c r="V6" s="3">
        <v>3</v>
      </c>
      <c r="W6" s="3" t="s">
        <v>19</v>
      </c>
      <c r="X6" s="3">
        <v>3</v>
      </c>
      <c r="Y6" s="3" t="s">
        <v>19</v>
      </c>
      <c r="Z6" s="3">
        <v>3</v>
      </c>
      <c r="AA6" s="3">
        <v>3</v>
      </c>
      <c r="AB6" s="3">
        <v>3</v>
      </c>
      <c r="AC6" s="3">
        <v>0</v>
      </c>
      <c r="AD6" s="3" t="s">
        <v>19</v>
      </c>
      <c r="AE6" s="3" t="s">
        <v>19</v>
      </c>
      <c r="AF6" s="3">
        <v>3</v>
      </c>
      <c r="AG6" s="3">
        <v>3</v>
      </c>
      <c r="AH6" s="3">
        <v>0</v>
      </c>
      <c r="AI6" s="3">
        <v>0</v>
      </c>
      <c r="AJ6" s="3">
        <v>3</v>
      </c>
      <c r="AK6" s="3">
        <v>0</v>
      </c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</row>
    <row r="7" spans="2:61" ht="14.1" customHeight="1">
      <c r="B7" s="14" t="s">
        <v>35</v>
      </c>
      <c r="C7" s="6">
        <f>SUM(I7:BI7)</f>
        <v>35</v>
      </c>
      <c r="D7" s="11">
        <f>SUM(I7:V7)</f>
        <v>14</v>
      </c>
      <c r="E7" s="11">
        <f>SUM(W7:AI7)</f>
        <v>18</v>
      </c>
      <c r="F7" s="11">
        <f>SUM(AJ7:AV7)</f>
        <v>3</v>
      </c>
      <c r="G7" s="11">
        <f>SUM(AW7:BI7)</f>
        <v>0</v>
      </c>
      <c r="H7" s="11">
        <f>COUNT(I7:BI7)</f>
        <v>28</v>
      </c>
      <c r="I7" s="3">
        <v>3</v>
      </c>
      <c r="J7" s="3">
        <v>0</v>
      </c>
      <c r="K7" s="3">
        <v>1</v>
      </c>
      <c r="L7" s="3">
        <v>3</v>
      </c>
      <c r="M7" s="3">
        <v>0</v>
      </c>
      <c r="N7" s="3">
        <v>3</v>
      </c>
      <c r="O7" s="3">
        <v>0</v>
      </c>
      <c r="P7" s="3">
        <v>1</v>
      </c>
      <c r="Q7" s="3">
        <v>0</v>
      </c>
      <c r="R7" s="3">
        <v>3</v>
      </c>
      <c r="S7" s="3" t="s">
        <v>19</v>
      </c>
      <c r="T7" s="3">
        <v>0</v>
      </c>
      <c r="U7" s="3">
        <v>0</v>
      </c>
      <c r="V7" s="3">
        <v>0</v>
      </c>
      <c r="W7" s="3">
        <v>3</v>
      </c>
      <c r="X7" s="3">
        <v>0</v>
      </c>
      <c r="Y7" s="3">
        <v>0</v>
      </c>
      <c r="Z7" s="3">
        <v>0</v>
      </c>
      <c r="AA7" s="3">
        <v>3</v>
      </c>
      <c r="AB7" s="3">
        <v>0</v>
      </c>
      <c r="AC7" s="3">
        <v>0</v>
      </c>
      <c r="AD7" s="3">
        <v>0</v>
      </c>
      <c r="AE7" s="3">
        <v>3</v>
      </c>
      <c r="AF7" s="3">
        <v>3</v>
      </c>
      <c r="AG7" s="3">
        <v>3</v>
      </c>
      <c r="AH7" s="3">
        <v>3</v>
      </c>
      <c r="AI7" s="3">
        <v>0</v>
      </c>
      <c r="AJ7" s="3">
        <v>0</v>
      </c>
      <c r="AK7" s="3">
        <v>3</v>
      </c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</row>
    <row r="8" spans="2:61" ht="14.1" customHeight="1">
      <c r="B8" s="14" t="s">
        <v>5</v>
      </c>
      <c r="C8" s="6">
        <f>SUM(I8:BI8)</f>
        <v>31</v>
      </c>
      <c r="D8" s="11">
        <f>SUM(I8:V8)</f>
        <v>16</v>
      </c>
      <c r="E8" s="11">
        <f>SUM(W8:AI8)</f>
        <v>9</v>
      </c>
      <c r="F8" s="11">
        <f>SUM(AJ8:AV8)</f>
        <v>6</v>
      </c>
      <c r="G8" s="11">
        <f>SUM(AW8:BI8)</f>
        <v>0</v>
      </c>
      <c r="H8" s="11">
        <f>COUNT(I8:BI8)</f>
        <v>26</v>
      </c>
      <c r="I8" s="3">
        <v>3</v>
      </c>
      <c r="J8" s="3">
        <v>0</v>
      </c>
      <c r="K8" s="3">
        <v>1</v>
      </c>
      <c r="L8" s="3">
        <v>3</v>
      </c>
      <c r="M8" s="3">
        <v>0</v>
      </c>
      <c r="N8" s="3">
        <v>0</v>
      </c>
      <c r="O8" s="3">
        <v>3</v>
      </c>
      <c r="P8" s="3">
        <v>0</v>
      </c>
      <c r="Q8" s="3" t="s">
        <v>19</v>
      </c>
      <c r="R8" s="3">
        <v>0</v>
      </c>
      <c r="S8" s="3">
        <v>0</v>
      </c>
      <c r="T8" s="3">
        <v>3</v>
      </c>
      <c r="U8" s="3">
        <v>0</v>
      </c>
      <c r="V8" s="3">
        <v>3</v>
      </c>
      <c r="W8" s="3">
        <v>0</v>
      </c>
      <c r="X8" s="3">
        <v>0</v>
      </c>
      <c r="Y8" s="3">
        <v>3</v>
      </c>
      <c r="Z8" s="3">
        <v>3</v>
      </c>
      <c r="AA8" s="3">
        <v>0</v>
      </c>
      <c r="AB8" s="3" t="s">
        <v>19</v>
      </c>
      <c r="AC8" s="3" t="s">
        <v>19</v>
      </c>
      <c r="AD8" s="3">
        <v>3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3</v>
      </c>
      <c r="AK8" s="3">
        <v>3</v>
      </c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</row>
    <row r="9" spans="2:61" ht="14.1" customHeight="1">
      <c r="B9" s="14" t="s">
        <v>36</v>
      </c>
      <c r="C9" s="6">
        <f>SUM(I9:BI9)</f>
        <v>29</v>
      </c>
      <c r="D9" s="11">
        <f>SUM(I9:V9)</f>
        <v>20</v>
      </c>
      <c r="E9" s="11">
        <f>SUM(W9:AI9)</f>
        <v>9</v>
      </c>
      <c r="F9" s="11">
        <f>SUM(AJ9:AV9)</f>
        <v>0</v>
      </c>
      <c r="G9" s="11">
        <f>SUM(AW9:BI9)</f>
        <v>0</v>
      </c>
      <c r="H9" s="11">
        <f>COUNT(I9:BI9)</f>
        <v>18</v>
      </c>
      <c r="I9" s="3" t="s">
        <v>19</v>
      </c>
      <c r="J9" s="3">
        <v>0</v>
      </c>
      <c r="K9" s="3">
        <v>1</v>
      </c>
      <c r="L9" s="3">
        <v>3</v>
      </c>
      <c r="M9" s="3">
        <v>3</v>
      </c>
      <c r="N9" s="3">
        <v>0</v>
      </c>
      <c r="O9" s="3" t="s">
        <v>19</v>
      </c>
      <c r="P9" s="3">
        <v>1</v>
      </c>
      <c r="Q9" s="3">
        <v>0</v>
      </c>
      <c r="R9" s="3" t="s">
        <v>19</v>
      </c>
      <c r="S9" s="3">
        <v>3</v>
      </c>
      <c r="T9" s="3">
        <v>3</v>
      </c>
      <c r="U9" s="3">
        <v>3</v>
      </c>
      <c r="V9" s="3">
        <v>3</v>
      </c>
      <c r="W9" s="3" t="s">
        <v>19</v>
      </c>
      <c r="X9" s="3" t="s">
        <v>19</v>
      </c>
      <c r="Y9" s="3">
        <v>3</v>
      </c>
      <c r="Z9" s="3">
        <v>0</v>
      </c>
      <c r="AA9" s="3" t="s">
        <v>19</v>
      </c>
      <c r="AB9" s="3">
        <v>3</v>
      </c>
      <c r="AC9" s="3" t="s">
        <v>19</v>
      </c>
      <c r="AD9" s="3" t="s">
        <v>19</v>
      </c>
      <c r="AE9" s="3" t="s">
        <v>19</v>
      </c>
      <c r="AF9" s="3">
        <v>3</v>
      </c>
      <c r="AG9" s="3">
        <v>0</v>
      </c>
      <c r="AH9" s="3">
        <v>0</v>
      </c>
      <c r="AI9" s="3" t="s">
        <v>19</v>
      </c>
      <c r="AJ9" s="3">
        <v>0</v>
      </c>
      <c r="AK9" s="3" t="s">
        <v>19</v>
      </c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</row>
    <row r="10" spans="2:61" ht="14.1" customHeight="1">
      <c r="B10" s="14" t="s">
        <v>18</v>
      </c>
      <c r="C10" s="6">
        <f>SUM(I10:BI10)</f>
        <v>28</v>
      </c>
      <c r="D10" s="11">
        <f>SUM(I10:V10)</f>
        <v>10</v>
      </c>
      <c r="E10" s="11">
        <f>SUM(W10:AI10)</f>
        <v>18</v>
      </c>
      <c r="F10" s="11">
        <f>SUM(AJ10:AV10)</f>
        <v>0</v>
      </c>
      <c r="G10" s="11">
        <f>SUM(AW10:BI10)</f>
        <v>0</v>
      </c>
      <c r="H10" s="11">
        <f>COUNT(I10:BI10)</f>
        <v>27</v>
      </c>
      <c r="I10" s="3">
        <v>3</v>
      </c>
      <c r="J10" s="3">
        <v>0</v>
      </c>
      <c r="K10" s="3">
        <v>1</v>
      </c>
      <c r="L10" s="3">
        <v>0</v>
      </c>
      <c r="M10" s="3" t="s">
        <v>19</v>
      </c>
      <c r="N10" s="3">
        <v>3</v>
      </c>
      <c r="O10" s="3">
        <v>3</v>
      </c>
      <c r="P10" s="3" t="s">
        <v>19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3</v>
      </c>
      <c r="Z10" s="3">
        <v>3</v>
      </c>
      <c r="AA10" s="3">
        <v>0</v>
      </c>
      <c r="AB10" s="3">
        <v>0</v>
      </c>
      <c r="AC10" s="3">
        <v>3</v>
      </c>
      <c r="AD10" s="3">
        <v>0</v>
      </c>
      <c r="AE10" s="3">
        <v>3</v>
      </c>
      <c r="AF10" s="3">
        <v>3</v>
      </c>
      <c r="AG10" s="3">
        <v>3</v>
      </c>
      <c r="AH10" s="3">
        <v>0</v>
      </c>
      <c r="AI10" s="3">
        <v>0</v>
      </c>
      <c r="AJ10" s="3">
        <v>0</v>
      </c>
      <c r="AK10" s="3">
        <v>0</v>
      </c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</row>
    <row r="11" spans="2:61" ht="14.1" customHeight="1">
      <c r="B11" s="14" t="s">
        <v>15</v>
      </c>
      <c r="C11" s="6">
        <f>SUM(I11:BI11)</f>
        <v>28</v>
      </c>
      <c r="D11" s="11">
        <f>SUM(I11:V11)</f>
        <v>13</v>
      </c>
      <c r="E11" s="11">
        <f>SUM(W11:AI11)</f>
        <v>15</v>
      </c>
      <c r="F11" s="11">
        <f>SUM(AJ11:AV11)</f>
        <v>0</v>
      </c>
      <c r="G11" s="11">
        <f>SUM(AW11:BI11)</f>
        <v>0</v>
      </c>
      <c r="H11" s="11">
        <f>COUNT(I11:BI11)</f>
        <v>15</v>
      </c>
      <c r="I11" s="3" t="s">
        <v>19</v>
      </c>
      <c r="J11" s="3">
        <v>3</v>
      </c>
      <c r="K11" s="3" t="s">
        <v>19</v>
      </c>
      <c r="L11" s="3" t="s">
        <v>19</v>
      </c>
      <c r="M11" s="3" t="s">
        <v>19</v>
      </c>
      <c r="N11" s="3" t="s">
        <v>19</v>
      </c>
      <c r="O11" s="3" t="s">
        <v>19</v>
      </c>
      <c r="P11" s="3">
        <v>1</v>
      </c>
      <c r="Q11" s="3">
        <v>3</v>
      </c>
      <c r="R11" s="3">
        <v>3</v>
      </c>
      <c r="S11" s="3">
        <v>3</v>
      </c>
      <c r="T11" s="3">
        <v>0</v>
      </c>
      <c r="U11" s="3" t="s">
        <v>19</v>
      </c>
      <c r="V11" s="3">
        <v>0</v>
      </c>
      <c r="W11" s="3">
        <v>0</v>
      </c>
      <c r="X11" s="3">
        <v>3</v>
      </c>
      <c r="Y11" s="3" t="s">
        <v>19</v>
      </c>
      <c r="Z11" s="3">
        <v>0</v>
      </c>
      <c r="AA11" s="3" t="s">
        <v>19</v>
      </c>
      <c r="AB11" s="3" t="s">
        <v>19</v>
      </c>
      <c r="AC11" s="3">
        <v>3</v>
      </c>
      <c r="AD11" s="3" t="s">
        <v>19</v>
      </c>
      <c r="AE11" s="3">
        <v>3</v>
      </c>
      <c r="AF11" s="3">
        <v>0</v>
      </c>
      <c r="AG11" s="3">
        <v>3</v>
      </c>
      <c r="AH11" s="3" t="s">
        <v>19</v>
      </c>
      <c r="AI11" s="3">
        <v>3</v>
      </c>
      <c r="AJ11" s="3" t="s">
        <v>19</v>
      </c>
      <c r="AK11" s="3" t="s">
        <v>19</v>
      </c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</row>
    <row r="12" spans="2:61" ht="14.1" customHeight="1">
      <c r="B12" s="14" t="s">
        <v>6</v>
      </c>
      <c r="C12" s="6">
        <f>SUM(I12:BI12)</f>
        <v>27</v>
      </c>
      <c r="D12" s="11">
        <f>SUM(I12:V12)</f>
        <v>9</v>
      </c>
      <c r="E12" s="11">
        <f>SUM(W12:AI12)</f>
        <v>12</v>
      </c>
      <c r="F12" s="11">
        <f>SUM(AJ12:AV12)</f>
        <v>6</v>
      </c>
      <c r="G12" s="11">
        <f>SUM(AW12:BI12)</f>
        <v>0</v>
      </c>
      <c r="H12" s="11">
        <f>COUNT(I12:BI12)</f>
        <v>19</v>
      </c>
      <c r="I12" s="3">
        <v>0</v>
      </c>
      <c r="J12" s="3">
        <v>0</v>
      </c>
      <c r="K12" s="3" t="s">
        <v>19</v>
      </c>
      <c r="L12" s="3">
        <v>0</v>
      </c>
      <c r="M12" s="3">
        <v>3</v>
      </c>
      <c r="N12" s="3" t="s">
        <v>19</v>
      </c>
      <c r="O12" s="3">
        <v>0</v>
      </c>
      <c r="P12" s="3" t="s">
        <v>19</v>
      </c>
      <c r="Q12" s="3">
        <v>3</v>
      </c>
      <c r="R12" s="3">
        <v>0</v>
      </c>
      <c r="S12" s="3" t="s">
        <v>19</v>
      </c>
      <c r="T12" s="3" t="s">
        <v>19</v>
      </c>
      <c r="U12" s="3">
        <v>3</v>
      </c>
      <c r="V12" s="3" t="s">
        <v>19</v>
      </c>
      <c r="W12" s="3">
        <v>3</v>
      </c>
      <c r="X12" s="3">
        <v>0</v>
      </c>
      <c r="Y12" s="3">
        <v>3</v>
      </c>
      <c r="Z12" s="3">
        <v>0</v>
      </c>
      <c r="AA12" s="3">
        <v>3</v>
      </c>
      <c r="AB12" s="3">
        <v>0</v>
      </c>
      <c r="AC12" s="3">
        <v>3</v>
      </c>
      <c r="AD12" s="3">
        <v>0</v>
      </c>
      <c r="AE12" s="3" t="s">
        <v>19</v>
      </c>
      <c r="AF12" s="3">
        <v>0</v>
      </c>
      <c r="AG12" s="3" t="s">
        <v>19</v>
      </c>
      <c r="AH12" s="3" t="s">
        <v>19</v>
      </c>
      <c r="AI12" s="3" t="s">
        <v>19</v>
      </c>
      <c r="AJ12" s="3">
        <v>3</v>
      </c>
      <c r="AK12" s="3">
        <v>3</v>
      </c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</row>
    <row r="13" spans="2:61" ht="14.1" customHeight="1">
      <c r="B13" s="14" t="s">
        <v>7</v>
      </c>
      <c r="C13" s="6">
        <f>SUM(I13:BI13)</f>
        <v>26</v>
      </c>
      <c r="D13" s="11">
        <f>SUM(I13:V13)</f>
        <v>17</v>
      </c>
      <c r="E13" s="11">
        <f>SUM(W13:AI13)</f>
        <v>9</v>
      </c>
      <c r="F13" s="11">
        <f>SUM(AJ13:AV13)</f>
        <v>0</v>
      </c>
      <c r="G13" s="11">
        <f>SUM(AW13:BI13)</f>
        <v>0</v>
      </c>
      <c r="H13" s="11">
        <f>COUNT(I13:BI13)</f>
        <v>21</v>
      </c>
      <c r="I13" s="3">
        <v>3</v>
      </c>
      <c r="J13" s="3">
        <v>3</v>
      </c>
      <c r="K13" s="3">
        <v>1</v>
      </c>
      <c r="L13" s="3">
        <v>3</v>
      </c>
      <c r="M13" s="3" t="s">
        <v>19</v>
      </c>
      <c r="N13" s="3" t="s">
        <v>19</v>
      </c>
      <c r="O13" s="3" t="s">
        <v>19</v>
      </c>
      <c r="P13" s="3">
        <v>1</v>
      </c>
      <c r="Q13" s="3">
        <v>3</v>
      </c>
      <c r="R13" s="3">
        <v>3</v>
      </c>
      <c r="S13" s="3" t="s">
        <v>19</v>
      </c>
      <c r="T13" s="3">
        <v>0</v>
      </c>
      <c r="U13" s="3" t="s">
        <v>19</v>
      </c>
      <c r="V13" s="3">
        <v>0</v>
      </c>
      <c r="W13" s="3">
        <v>0</v>
      </c>
      <c r="X13" s="3">
        <v>3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3</v>
      </c>
      <c r="AE13" s="3" t="s">
        <v>19</v>
      </c>
      <c r="AF13" s="3" t="s">
        <v>19</v>
      </c>
      <c r="AG13" s="3">
        <v>0</v>
      </c>
      <c r="AH13" s="3">
        <v>3</v>
      </c>
      <c r="AI13" s="3" t="s">
        <v>19</v>
      </c>
      <c r="AJ13" s="3">
        <v>0</v>
      </c>
      <c r="AK13" s="3">
        <v>0</v>
      </c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</row>
    <row r="14" spans="2:61" ht="14.1" customHeight="1">
      <c r="B14" s="14" t="s">
        <v>11</v>
      </c>
      <c r="C14" s="6">
        <f>SUM(I14:BI14)</f>
        <v>25</v>
      </c>
      <c r="D14" s="11">
        <f>SUM(I14:V14)</f>
        <v>13</v>
      </c>
      <c r="E14" s="11">
        <f>SUM(W14:AI14)</f>
        <v>12</v>
      </c>
      <c r="F14" s="11">
        <f>SUM(AJ14:AV14)</f>
        <v>0</v>
      </c>
      <c r="G14" s="11">
        <f>SUM(AW14:BI14)</f>
        <v>0</v>
      </c>
      <c r="H14" s="11">
        <f>COUNT(I14:BI14)</f>
        <v>22</v>
      </c>
      <c r="I14" s="3">
        <v>0</v>
      </c>
      <c r="J14" s="3" t="s">
        <v>19</v>
      </c>
      <c r="K14" s="3">
        <v>1</v>
      </c>
      <c r="L14" s="3">
        <v>0</v>
      </c>
      <c r="M14" s="3">
        <v>0</v>
      </c>
      <c r="N14" s="3">
        <v>0</v>
      </c>
      <c r="O14" s="3">
        <v>3</v>
      </c>
      <c r="P14" s="3" t="s">
        <v>19</v>
      </c>
      <c r="Q14" s="3">
        <v>3</v>
      </c>
      <c r="R14" s="3">
        <v>3</v>
      </c>
      <c r="S14" s="3">
        <v>0</v>
      </c>
      <c r="T14" s="3">
        <v>0</v>
      </c>
      <c r="U14" s="3">
        <v>3</v>
      </c>
      <c r="V14" s="3" t="s">
        <v>19</v>
      </c>
      <c r="W14" s="3">
        <v>0</v>
      </c>
      <c r="X14" s="3">
        <v>3</v>
      </c>
      <c r="Y14" s="3">
        <v>0</v>
      </c>
      <c r="Z14" s="3">
        <v>3</v>
      </c>
      <c r="AA14" s="3">
        <v>3</v>
      </c>
      <c r="AB14" s="3">
        <v>0</v>
      </c>
      <c r="AC14" s="3" t="s">
        <v>19</v>
      </c>
      <c r="AD14" s="3" t="s">
        <v>19</v>
      </c>
      <c r="AE14" s="3">
        <v>3</v>
      </c>
      <c r="AF14" s="3">
        <v>0</v>
      </c>
      <c r="AG14" s="3">
        <v>0</v>
      </c>
      <c r="AH14" s="3" t="s">
        <v>19</v>
      </c>
      <c r="AI14" s="3">
        <v>0</v>
      </c>
      <c r="AJ14" s="3" t="s">
        <v>19</v>
      </c>
      <c r="AK14" s="3">
        <v>0</v>
      </c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</row>
    <row r="15" spans="2:61" ht="14.1" customHeight="1">
      <c r="B15" s="14" t="s">
        <v>3</v>
      </c>
      <c r="C15" s="6">
        <f>SUM(I15:BI15)</f>
        <v>25</v>
      </c>
      <c r="D15" s="11">
        <f>SUM(I15:V15)</f>
        <v>10</v>
      </c>
      <c r="E15" s="11">
        <f>SUM(W15:AI15)</f>
        <v>15</v>
      </c>
      <c r="F15" s="11">
        <f>SUM(AJ15:AV15)</f>
        <v>0</v>
      </c>
      <c r="G15" s="11">
        <f>SUM(AW15:BI15)</f>
        <v>0</v>
      </c>
      <c r="H15" s="11">
        <f>COUNT(I15:BI15)</f>
        <v>24</v>
      </c>
      <c r="I15" s="3">
        <v>0</v>
      </c>
      <c r="J15" s="3">
        <v>0</v>
      </c>
      <c r="K15" s="3">
        <v>1</v>
      </c>
      <c r="L15" s="3">
        <v>0</v>
      </c>
      <c r="M15" s="3">
        <v>0</v>
      </c>
      <c r="N15" s="3">
        <v>0</v>
      </c>
      <c r="O15" s="3">
        <v>3</v>
      </c>
      <c r="P15" s="3" t="s">
        <v>19</v>
      </c>
      <c r="Q15" s="3" t="s">
        <v>19</v>
      </c>
      <c r="R15" s="3">
        <v>0</v>
      </c>
      <c r="S15" s="3">
        <v>0</v>
      </c>
      <c r="T15" s="3">
        <v>3</v>
      </c>
      <c r="U15" s="3">
        <v>0</v>
      </c>
      <c r="V15" s="3">
        <v>3</v>
      </c>
      <c r="W15" s="3">
        <v>0</v>
      </c>
      <c r="X15" s="3">
        <v>0</v>
      </c>
      <c r="Y15" s="3">
        <v>3</v>
      </c>
      <c r="Z15" s="3" t="s">
        <v>19</v>
      </c>
      <c r="AA15" s="3">
        <v>3</v>
      </c>
      <c r="AB15" s="3">
        <v>3</v>
      </c>
      <c r="AC15" s="3">
        <v>3</v>
      </c>
      <c r="AD15" s="3">
        <v>0</v>
      </c>
      <c r="AE15" s="3" t="s">
        <v>19</v>
      </c>
      <c r="AF15" s="3">
        <v>0</v>
      </c>
      <c r="AG15" s="3">
        <v>3</v>
      </c>
      <c r="AH15" s="3">
        <v>0</v>
      </c>
      <c r="AI15" s="3">
        <v>0</v>
      </c>
      <c r="AJ15" s="3">
        <v>0</v>
      </c>
      <c r="AK15" s="3" t="s">
        <v>19</v>
      </c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</row>
    <row r="16" spans="2:61" ht="14.1" customHeight="1">
      <c r="B16" s="14" t="s">
        <v>17</v>
      </c>
      <c r="C16" s="6">
        <f>SUM(I16:BI16)</f>
        <v>15</v>
      </c>
      <c r="D16" s="11">
        <f>SUM(I16:V16)</f>
        <v>0</v>
      </c>
      <c r="E16" s="11">
        <f>SUM(W16:AI16)</f>
        <v>9</v>
      </c>
      <c r="F16" s="11">
        <f>SUM(AJ16:AV16)</f>
        <v>6</v>
      </c>
      <c r="G16" s="11">
        <f>SUM(AW16:BI16)</f>
        <v>0</v>
      </c>
      <c r="H16" s="11">
        <f>COUNT(I16:BI16)</f>
        <v>5</v>
      </c>
      <c r="I16" s="3" t="s">
        <v>19</v>
      </c>
      <c r="J16" s="3" t="s">
        <v>19</v>
      </c>
      <c r="K16" s="3" t="s">
        <v>19</v>
      </c>
      <c r="L16" s="3" t="s">
        <v>19</v>
      </c>
      <c r="M16" s="3" t="s">
        <v>19</v>
      </c>
      <c r="N16" s="3" t="s">
        <v>19</v>
      </c>
      <c r="O16" s="3" t="s">
        <v>19</v>
      </c>
      <c r="P16" s="3" t="s">
        <v>19</v>
      </c>
      <c r="Q16" s="3" t="s">
        <v>19</v>
      </c>
      <c r="R16" s="3" t="s">
        <v>19</v>
      </c>
      <c r="S16" s="3" t="s">
        <v>19</v>
      </c>
      <c r="T16" s="3" t="s">
        <v>19</v>
      </c>
      <c r="U16" s="3" t="s">
        <v>19</v>
      </c>
      <c r="V16" s="3" t="s">
        <v>19</v>
      </c>
      <c r="W16" s="3" t="s">
        <v>19</v>
      </c>
      <c r="X16" s="3" t="s">
        <v>19</v>
      </c>
      <c r="Y16" s="3" t="s">
        <v>19</v>
      </c>
      <c r="Z16" s="3" t="s">
        <v>19</v>
      </c>
      <c r="AA16" s="3" t="s">
        <v>19</v>
      </c>
      <c r="AB16" s="3" t="s">
        <v>19</v>
      </c>
      <c r="AC16" s="3" t="s">
        <v>19</v>
      </c>
      <c r="AD16" s="3" t="s">
        <v>19</v>
      </c>
      <c r="AE16" s="3" t="s">
        <v>19</v>
      </c>
      <c r="AF16" s="3" t="s">
        <v>19</v>
      </c>
      <c r="AG16" s="3">
        <v>3</v>
      </c>
      <c r="AH16" s="3">
        <v>3</v>
      </c>
      <c r="AI16" s="3">
        <v>3</v>
      </c>
      <c r="AJ16" s="3">
        <v>3</v>
      </c>
      <c r="AK16" s="3">
        <v>3</v>
      </c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</row>
    <row r="17" spans="2:61" ht="14.1" customHeight="1">
      <c r="B17" s="14" t="s">
        <v>10</v>
      </c>
      <c r="C17" s="6">
        <f>SUM(I17:BI17)</f>
        <v>1</v>
      </c>
      <c r="D17" s="11">
        <f>SUM(I17:V17)</f>
        <v>1</v>
      </c>
      <c r="E17" s="11">
        <f>SUM(W17:AI17)</f>
        <v>0</v>
      </c>
      <c r="F17" s="11">
        <f>SUM(AJ17:AV17)</f>
        <v>0</v>
      </c>
      <c r="G17" s="11">
        <f>SUM(AW17:BI17)</f>
        <v>0</v>
      </c>
      <c r="H17" s="11">
        <f>COUNT(I17:BI17)</f>
        <v>2</v>
      </c>
      <c r="I17" s="3" t="s">
        <v>19</v>
      </c>
      <c r="J17" s="3" t="s">
        <v>19</v>
      </c>
      <c r="K17" s="3">
        <v>1</v>
      </c>
      <c r="L17" s="3" t="s">
        <v>19</v>
      </c>
      <c r="M17" s="3" t="s">
        <v>19</v>
      </c>
      <c r="N17" s="3" t="s">
        <v>19</v>
      </c>
      <c r="O17" s="3" t="s">
        <v>19</v>
      </c>
      <c r="P17" s="3" t="s">
        <v>19</v>
      </c>
      <c r="Q17" s="3" t="s">
        <v>19</v>
      </c>
      <c r="R17" s="3" t="s">
        <v>19</v>
      </c>
      <c r="S17" s="3" t="s">
        <v>19</v>
      </c>
      <c r="T17" s="3" t="s">
        <v>19</v>
      </c>
      <c r="U17" s="3" t="s">
        <v>19</v>
      </c>
      <c r="V17" s="3" t="s">
        <v>19</v>
      </c>
      <c r="W17" s="3" t="s">
        <v>19</v>
      </c>
      <c r="X17" s="3" t="s">
        <v>19</v>
      </c>
      <c r="Y17" s="3" t="s">
        <v>19</v>
      </c>
      <c r="Z17" s="3" t="s">
        <v>19</v>
      </c>
      <c r="AA17" s="3" t="s">
        <v>19</v>
      </c>
      <c r="AB17" s="3" t="s">
        <v>19</v>
      </c>
      <c r="AC17" s="3" t="s">
        <v>19</v>
      </c>
      <c r="AD17" s="3" t="s">
        <v>19</v>
      </c>
      <c r="AE17" s="3" t="s">
        <v>19</v>
      </c>
      <c r="AF17" s="3" t="s">
        <v>19</v>
      </c>
      <c r="AG17" s="3" t="s">
        <v>19</v>
      </c>
      <c r="AH17" s="3">
        <v>0</v>
      </c>
      <c r="AI17" s="3" t="s">
        <v>19</v>
      </c>
      <c r="AJ17" s="3" t="s">
        <v>19</v>
      </c>
      <c r="AK17" s="3" t="s">
        <v>19</v>
      </c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</row>
    <row r="18" spans="2:61" ht="14.1" customHeight="1">
      <c r="B18" s="4" t="s">
        <v>21</v>
      </c>
      <c r="C18" s="7" t="s">
        <v>1</v>
      </c>
      <c r="D18" s="7" t="s">
        <v>27</v>
      </c>
      <c r="E18" s="7" t="s">
        <v>29</v>
      </c>
      <c r="F18" s="7" t="s">
        <v>31</v>
      </c>
      <c r="G18" s="7" t="s">
        <v>32</v>
      </c>
      <c r="H18" s="7" t="s">
        <v>4</v>
      </c>
      <c r="I18" s="5">
        <v>46025</v>
      </c>
      <c r="J18" s="5">
        <f t="shared" ref="J18:O18" si="2">I18+7</f>
        <v>46032</v>
      </c>
      <c r="K18" s="5">
        <f t="shared" si="2"/>
        <v>46039</v>
      </c>
      <c r="L18" s="5">
        <f t="shared" si="2"/>
        <v>46046</v>
      </c>
      <c r="M18" s="5">
        <f t="shared" si="2"/>
        <v>46053</v>
      </c>
      <c r="N18" s="5">
        <f t="shared" si="2"/>
        <v>46060</v>
      </c>
      <c r="O18" s="5">
        <f t="shared" si="2"/>
        <v>46067</v>
      </c>
      <c r="P18" s="5">
        <v>46070</v>
      </c>
      <c r="Q18" s="5">
        <f>O18+7</f>
        <v>46074</v>
      </c>
      <c r="R18" s="5">
        <f>Q18+7</f>
        <v>46081</v>
      </c>
      <c r="S18" s="5">
        <f>R18+7</f>
        <v>46088</v>
      </c>
      <c r="T18" s="5">
        <f>S18+7</f>
        <v>46095</v>
      </c>
      <c r="U18" s="5">
        <f>T18+7</f>
        <v>46102</v>
      </c>
      <c r="V18" s="5">
        <f>U18+7</f>
        <v>46109</v>
      </c>
      <c r="W18" s="5">
        <f t="shared" ref="W18:BH18" si="3">V18+7</f>
        <v>46116</v>
      </c>
      <c r="X18" s="5">
        <f t="shared" si="3"/>
        <v>46123</v>
      </c>
      <c r="Y18" s="5">
        <f t="shared" si="3"/>
        <v>46130</v>
      </c>
      <c r="Z18" s="5">
        <f t="shared" si="3"/>
        <v>46137</v>
      </c>
      <c r="AA18" s="5">
        <f t="shared" si="3"/>
        <v>46144</v>
      </c>
      <c r="AB18" s="5">
        <f t="shared" si="3"/>
        <v>46151</v>
      </c>
      <c r="AC18" s="5">
        <f t="shared" si="3"/>
        <v>46158</v>
      </c>
      <c r="AD18" s="5">
        <f t="shared" si="3"/>
        <v>46165</v>
      </c>
      <c r="AE18" s="5">
        <f t="shared" si="3"/>
        <v>46172</v>
      </c>
      <c r="AF18" s="5">
        <f t="shared" si="3"/>
        <v>46179</v>
      </c>
      <c r="AG18" s="5">
        <f t="shared" si="3"/>
        <v>46186</v>
      </c>
      <c r="AH18" s="5">
        <f t="shared" si="3"/>
        <v>46193</v>
      </c>
      <c r="AI18" s="5">
        <f t="shared" si="3"/>
        <v>46200</v>
      </c>
      <c r="AJ18" s="5">
        <f t="shared" si="3"/>
        <v>46207</v>
      </c>
      <c r="AK18" s="5">
        <f t="shared" si="3"/>
        <v>46214</v>
      </c>
      <c r="AL18" s="5">
        <f t="shared" si="3"/>
        <v>46221</v>
      </c>
      <c r="AM18" s="5">
        <f t="shared" si="3"/>
        <v>46228</v>
      </c>
      <c r="AN18" s="5">
        <f t="shared" si="3"/>
        <v>46235</v>
      </c>
      <c r="AO18" s="5">
        <f t="shared" si="3"/>
        <v>46242</v>
      </c>
      <c r="AP18" s="5">
        <f t="shared" si="3"/>
        <v>46249</v>
      </c>
      <c r="AQ18" s="5">
        <f t="shared" si="3"/>
        <v>46256</v>
      </c>
      <c r="AR18" s="5">
        <f t="shared" si="3"/>
        <v>46263</v>
      </c>
      <c r="AS18" s="5">
        <f t="shared" si="3"/>
        <v>46270</v>
      </c>
      <c r="AT18" s="5">
        <f t="shared" si="3"/>
        <v>46277</v>
      </c>
      <c r="AU18" s="5">
        <f t="shared" si="3"/>
        <v>46284</v>
      </c>
      <c r="AV18" s="5">
        <f t="shared" si="3"/>
        <v>46291</v>
      </c>
      <c r="AW18" s="5">
        <f t="shared" si="3"/>
        <v>46298</v>
      </c>
      <c r="AX18" s="5">
        <f t="shared" si="3"/>
        <v>46305</v>
      </c>
      <c r="AY18" s="5">
        <f t="shared" si="3"/>
        <v>46312</v>
      </c>
      <c r="AZ18" s="5">
        <f t="shared" si="3"/>
        <v>46319</v>
      </c>
      <c r="BA18" s="5">
        <f t="shared" si="3"/>
        <v>46326</v>
      </c>
      <c r="BB18" s="5">
        <f t="shared" si="3"/>
        <v>46333</v>
      </c>
      <c r="BC18" s="5">
        <f t="shared" si="3"/>
        <v>46340</v>
      </c>
      <c r="BD18" s="5">
        <f t="shared" si="3"/>
        <v>46347</v>
      </c>
      <c r="BE18" s="5">
        <f t="shared" si="3"/>
        <v>46354</v>
      </c>
      <c r="BF18" s="5">
        <f t="shared" si="3"/>
        <v>46361</v>
      </c>
      <c r="BG18" s="5">
        <f t="shared" si="3"/>
        <v>46368</v>
      </c>
      <c r="BH18" s="5">
        <f t="shared" si="3"/>
        <v>46375</v>
      </c>
      <c r="BI18" s="5">
        <f t="shared" ref="BI18" si="4">BH18+7</f>
        <v>46382</v>
      </c>
    </row>
    <row r="19" spans="2:61" ht="14.1" customHeight="1">
      <c r="B19" s="14" t="s">
        <v>16</v>
      </c>
      <c r="C19" s="6">
        <f>SUM(I19:BI19)</f>
        <v>34</v>
      </c>
      <c r="D19" s="11">
        <f>SUM(I19:V19)</f>
        <v>19</v>
      </c>
      <c r="E19" s="11">
        <f>SUM(W19:AI19)</f>
        <v>15</v>
      </c>
      <c r="F19" s="11">
        <f>SUM(AJ19:AV19)</f>
        <v>0</v>
      </c>
      <c r="G19" s="11">
        <f>SUM(AW19:BI19)</f>
        <v>0</v>
      </c>
      <c r="H19" s="11">
        <f>COUNT(I19:BI19)</f>
        <v>23</v>
      </c>
      <c r="I19" s="3">
        <v>3</v>
      </c>
      <c r="J19" s="3">
        <v>3</v>
      </c>
      <c r="K19" s="3">
        <v>1</v>
      </c>
      <c r="L19" s="3">
        <v>0</v>
      </c>
      <c r="M19" s="3" t="s">
        <v>19</v>
      </c>
      <c r="N19" s="3">
        <v>3</v>
      </c>
      <c r="O19" s="3" t="s">
        <v>19</v>
      </c>
      <c r="P19" s="3" t="s">
        <v>19</v>
      </c>
      <c r="Q19" s="3">
        <v>0</v>
      </c>
      <c r="R19" s="3">
        <v>3</v>
      </c>
      <c r="S19" s="3">
        <v>3</v>
      </c>
      <c r="T19" s="3">
        <v>3</v>
      </c>
      <c r="U19" s="3">
        <v>0</v>
      </c>
      <c r="V19" s="3">
        <v>0</v>
      </c>
      <c r="W19" s="3">
        <v>3</v>
      </c>
      <c r="X19" s="3">
        <v>3</v>
      </c>
      <c r="Y19" s="3">
        <v>0</v>
      </c>
      <c r="Z19" s="3">
        <v>0</v>
      </c>
      <c r="AA19" s="3" t="s">
        <v>19</v>
      </c>
      <c r="AB19" s="3">
        <v>3</v>
      </c>
      <c r="AC19" s="3">
        <v>0</v>
      </c>
      <c r="AD19" s="3">
        <v>3</v>
      </c>
      <c r="AE19" s="3">
        <v>0</v>
      </c>
      <c r="AF19" s="3">
        <v>0</v>
      </c>
      <c r="AG19" s="3" t="s">
        <v>19</v>
      </c>
      <c r="AH19" s="3">
        <v>0</v>
      </c>
      <c r="AI19" s="3">
        <v>3</v>
      </c>
      <c r="AJ19" s="3" t="s">
        <v>19</v>
      </c>
      <c r="AK19" s="3">
        <v>0</v>
      </c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</row>
    <row r="20" spans="2:61" ht="14.1" customHeight="1">
      <c r="B20" s="14" t="s">
        <v>22</v>
      </c>
      <c r="C20" s="6">
        <f>SUM(I20:BI20)</f>
        <v>33</v>
      </c>
      <c r="D20" s="11">
        <f>SUM(I20:V20)</f>
        <v>12</v>
      </c>
      <c r="E20" s="11">
        <f>SUM(W20:AI20)</f>
        <v>18</v>
      </c>
      <c r="F20" s="11">
        <f>SUM(AJ20:AV20)</f>
        <v>3</v>
      </c>
      <c r="G20" s="11">
        <f>SUM(AW20:BI20)</f>
        <v>0</v>
      </c>
      <c r="H20" s="11">
        <f>COUNT(I20:BI20)</f>
        <v>22</v>
      </c>
      <c r="I20" s="3" t="s">
        <v>19</v>
      </c>
      <c r="J20" s="3">
        <v>0</v>
      </c>
      <c r="K20" s="3" t="s">
        <v>19</v>
      </c>
      <c r="L20" s="3">
        <v>0</v>
      </c>
      <c r="M20" s="3">
        <v>3</v>
      </c>
      <c r="N20" s="3">
        <v>0</v>
      </c>
      <c r="O20" s="3" t="s">
        <v>19</v>
      </c>
      <c r="P20" s="3" t="s">
        <v>19</v>
      </c>
      <c r="Q20" s="3">
        <v>3</v>
      </c>
      <c r="R20" s="3">
        <v>0</v>
      </c>
      <c r="S20" s="3">
        <v>0</v>
      </c>
      <c r="T20" s="3">
        <v>0</v>
      </c>
      <c r="U20" s="3">
        <v>3</v>
      </c>
      <c r="V20" s="3">
        <v>3</v>
      </c>
      <c r="W20" s="3">
        <v>0</v>
      </c>
      <c r="X20" s="3">
        <v>0</v>
      </c>
      <c r="Y20" s="3">
        <v>3</v>
      </c>
      <c r="Z20" s="3" t="s">
        <v>19</v>
      </c>
      <c r="AA20" s="3">
        <v>3</v>
      </c>
      <c r="AB20" s="3" t="s">
        <v>19</v>
      </c>
      <c r="AC20" s="3">
        <v>3</v>
      </c>
      <c r="AD20" s="3" t="s">
        <v>19</v>
      </c>
      <c r="AE20" s="3">
        <v>3</v>
      </c>
      <c r="AF20" s="3">
        <v>3</v>
      </c>
      <c r="AG20" s="3">
        <v>3</v>
      </c>
      <c r="AH20" s="3">
        <v>0</v>
      </c>
      <c r="AI20" s="3">
        <v>0</v>
      </c>
      <c r="AJ20" s="3">
        <v>0</v>
      </c>
      <c r="AK20" s="3">
        <v>3</v>
      </c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</row>
    <row r="22" spans="2:61" ht="20.100000000000001" customHeight="1">
      <c r="B22" s="21" t="s">
        <v>38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</row>
    <row r="23" spans="2:61" ht="14.1" customHeight="1">
      <c r="B23" s="4" t="s">
        <v>0</v>
      </c>
      <c r="C23" s="7" t="s">
        <v>39</v>
      </c>
      <c r="D23" s="7" t="s">
        <v>27</v>
      </c>
      <c r="E23" s="7" t="s">
        <v>29</v>
      </c>
      <c r="F23" s="7" t="s">
        <v>31</v>
      </c>
      <c r="G23" s="7" t="s">
        <v>32</v>
      </c>
      <c r="H23" s="7" t="s">
        <v>4</v>
      </c>
      <c r="I23" s="5">
        <v>46025</v>
      </c>
      <c r="J23" s="5">
        <f>I23+7</f>
        <v>46032</v>
      </c>
      <c r="K23" s="5">
        <f t="shared" ref="K23:BH23" si="5">J23+7</f>
        <v>46039</v>
      </c>
      <c r="L23" s="5">
        <f t="shared" si="5"/>
        <v>46046</v>
      </c>
      <c r="M23" s="5">
        <f t="shared" si="5"/>
        <v>46053</v>
      </c>
      <c r="N23" s="5">
        <f t="shared" si="5"/>
        <v>46060</v>
      </c>
      <c r="O23" s="5">
        <f t="shared" si="5"/>
        <v>46067</v>
      </c>
      <c r="P23" s="5">
        <v>46070</v>
      </c>
      <c r="Q23" s="5">
        <f>O23+7</f>
        <v>46074</v>
      </c>
      <c r="R23" s="5">
        <f t="shared" si="5"/>
        <v>46081</v>
      </c>
      <c r="S23" s="5">
        <f t="shared" si="5"/>
        <v>46088</v>
      </c>
      <c r="T23" s="5">
        <f t="shared" si="5"/>
        <v>46095</v>
      </c>
      <c r="U23" s="5">
        <f t="shared" si="5"/>
        <v>46102</v>
      </c>
      <c r="V23" s="5">
        <f t="shared" si="5"/>
        <v>46109</v>
      </c>
      <c r="W23" s="5">
        <f t="shared" si="5"/>
        <v>46116</v>
      </c>
      <c r="X23" s="5">
        <f t="shared" si="5"/>
        <v>46123</v>
      </c>
      <c r="Y23" s="5">
        <f t="shared" si="5"/>
        <v>46130</v>
      </c>
      <c r="Z23" s="5">
        <f t="shared" si="5"/>
        <v>46137</v>
      </c>
      <c r="AA23" s="5">
        <f t="shared" si="5"/>
        <v>46144</v>
      </c>
      <c r="AB23" s="5">
        <f t="shared" si="5"/>
        <v>46151</v>
      </c>
      <c r="AC23" s="5">
        <f t="shared" si="5"/>
        <v>46158</v>
      </c>
      <c r="AD23" s="5">
        <f t="shared" si="5"/>
        <v>46165</v>
      </c>
      <c r="AE23" s="5">
        <f t="shared" si="5"/>
        <v>46172</v>
      </c>
      <c r="AF23" s="5">
        <f t="shared" si="5"/>
        <v>46179</v>
      </c>
      <c r="AG23" s="5">
        <f t="shared" si="5"/>
        <v>46186</v>
      </c>
      <c r="AH23" s="5">
        <f t="shared" si="5"/>
        <v>46193</v>
      </c>
      <c r="AI23" s="5">
        <f t="shared" si="5"/>
        <v>46200</v>
      </c>
      <c r="AJ23" s="5">
        <f t="shared" si="5"/>
        <v>46207</v>
      </c>
      <c r="AK23" s="5">
        <f t="shared" si="5"/>
        <v>46214</v>
      </c>
      <c r="AL23" s="5">
        <f t="shared" si="5"/>
        <v>46221</v>
      </c>
      <c r="AM23" s="5">
        <f t="shared" si="5"/>
        <v>46228</v>
      </c>
      <c r="AN23" s="5">
        <f t="shared" si="5"/>
        <v>46235</v>
      </c>
      <c r="AO23" s="5">
        <f t="shared" si="5"/>
        <v>46242</v>
      </c>
      <c r="AP23" s="5">
        <f t="shared" si="5"/>
        <v>46249</v>
      </c>
      <c r="AQ23" s="5">
        <f t="shared" si="5"/>
        <v>46256</v>
      </c>
      <c r="AR23" s="5">
        <f t="shared" si="5"/>
        <v>46263</v>
      </c>
      <c r="AS23" s="5">
        <f t="shared" si="5"/>
        <v>46270</v>
      </c>
      <c r="AT23" s="5">
        <f t="shared" si="5"/>
        <v>46277</v>
      </c>
      <c r="AU23" s="5">
        <f t="shared" si="5"/>
        <v>46284</v>
      </c>
      <c r="AV23" s="5">
        <f t="shared" si="5"/>
        <v>46291</v>
      </c>
      <c r="AW23" s="5">
        <f t="shared" si="5"/>
        <v>46298</v>
      </c>
      <c r="AX23" s="5">
        <f t="shared" si="5"/>
        <v>46305</v>
      </c>
      <c r="AY23" s="5">
        <f t="shared" si="5"/>
        <v>46312</v>
      </c>
      <c r="AZ23" s="5">
        <f t="shared" si="5"/>
        <v>46319</v>
      </c>
      <c r="BA23" s="5">
        <f t="shared" si="5"/>
        <v>46326</v>
      </c>
      <c r="BB23" s="5">
        <f t="shared" si="5"/>
        <v>46333</v>
      </c>
      <c r="BC23" s="5">
        <f t="shared" si="5"/>
        <v>46340</v>
      </c>
      <c r="BD23" s="5">
        <f t="shared" si="5"/>
        <v>46347</v>
      </c>
      <c r="BE23" s="5">
        <f t="shared" si="5"/>
        <v>46354</v>
      </c>
      <c r="BF23" s="5">
        <f t="shared" si="5"/>
        <v>46361</v>
      </c>
      <c r="BG23" s="5">
        <f t="shared" si="5"/>
        <v>46368</v>
      </c>
      <c r="BH23" s="5">
        <f t="shared" si="5"/>
        <v>46375</v>
      </c>
      <c r="BI23" s="5">
        <f t="shared" ref="BI23" si="6">BH23+7</f>
        <v>46382</v>
      </c>
    </row>
    <row r="24" spans="2:61" ht="14.1" customHeight="1">
      <c r="B24" s="14" t="s">
        <v>40</v>
      </c>
      <c r="C24" s="6">
        <f>SUM(I24:BI24)</f>
        <v>45</v>
      </c>
      <c r="D24" s="11">
        <f>SUM(I24:V24)</f>
        <v>20</v>
      </c>
      <c r="E24" s="11">
        <f>SUM(W24:AI24)</f>
        <v>24</v>
      </c>
      <c r="F24" s="11">
        <f>SUM(AJ24:AV24)</f>
        <v>1</v>
      </c>
      <c r="G24" s="11">
        <f>SUM(AW24:BI24)</f>
        <v>0</v>
      </c>
      <c r="H24" s="11">
        <f>COUNT(I24:BI24)</f>
        <v>24</v>
      </c>
      <c r="I24" s="3">
        <v>2</v>
      </c>
      <c r="J24" s="3">
        <v>3</v>
      </c>
      <c r="K24" s="3">
        <v>3</v>
      </c>
      <c r="L24" s="3">
        <v>1</v>
      </c>
      <c r="M24" s="3">
        <v>3</v>
      </c>
      <c r="N24" s="3">
        <v>2</v>
      </c>
      <c r="O24" s="3">
        <v>1</v>
      </c>
      <c r="P24" s="3">
        <v>4</v>
      </c>
      <c r="Q24" s="3">
        <v>0</v>
      </c>
      <c r="R24" s="3">
        <v>0</v>
      </c>
      <c r="S24" s="3" t="s">
        <v>19</v>
      </c>
      <c r="T24" s="3">
        <v>1</v>
      </c>
      <c r="U24" s="3" t="s">
        <v>19</v>
      </c>
      <c r="V24" s="3">
        <v>0</v>
      </c>
      <c r="W24" s="3">
        <v>1</v>
      </c>
      <c r="X24" s="3">
        <v>2</v>
      </c>
      <c r="Y24" s="3">
        <v>4</v>
      </c>
      <c r="Z24" s="3" t="s">
        <v>19</v>
      </c>
      <c r="AA24" s="3" t="s">
        <v>19</v>
      </c>
      <c r="AB24" s="3">
        <v>4</v>
      </c>
      <c r="AC24" s="3">
        <v>3</v>
      </c>
      <c r="AD24" s="3">
        <v>2</v>
      </c>
      <c r="AE24" s="3">
        <v>2</v>
      </c>
      <c r="AF24" s="3">
        <v>2</v>
      </c>
      <c r="AG24" s="3">
        <v>1</v>
      </c>
      <c r="AH24" s="3">
        <v>2</v>
      </c>
      <c r="AI24" s="3">
        <v>1</v>
      </c>
      <c r="AJ24" s="3" t="s">
        <v>19</v>
      </c>
      <c r="AK24" s="3">
        <v>1</v>
      </c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</row>
    <row r="25" spans="2:61" ht="14.1" customHeight="1">
      <c r="B25" s="14" t="s">
        <v>9</v>
      </c>
      <c r="C25" s="6">
        <f>SUM(I25:BI25)</f>
        <v>40</v>
      </c>
      <c r="D25" s="11">
        <f>SUM(I25:V25)</f>
        <v>22</v>
      </c>
      <c r="E25" s="11">
        <f>SUM(W25:AI25)</f>
        <v>17</v>
      </c>
      <c r="F25" s="11">
        <f>SUM(AJ25:AV25)</f>
        <v>1</v>
      </c>
      <c r="G25" s="11">
        <f>SUM(AW25:BI25)</f>
        <v>0</v>
      </c>
      <c r="H25" s="11">
        <f>COUNT(I25:BI25)</f>
        <v>26</v>
      </c>
      <c r="I25" s="3">
        <v>0</v>
      </c>
      <c r="J25" s="3">
        <v>3</v>
      </c>
      <c r="K25" s="3">
        <v>2</v>
      </c>
      <c r="L25" s="3">
        <v>0</v>
      </c>
      <c r="M25" s="3">
        <v>0</v>
      </c>
      <c r="N25" s="3">
        <v>0</v>
      </c>
      <c r="O25" s="3" t="s">
        <v>19</v>
      </c>
      <c r="P25" s="3" t="s">
        <v>19</v>
      </c>
      <c r="Q25" s="3">
        <v>0</v>
      </c>
      <c r="R25" s="3">
        <v>2</v>
      </c>
      <c r="S25" s="3">
        <v>5</v>
      </c>
      <c r="T25" s="3">
        <v>5</v>
      </c>
      <c r="U25" s="3">
        <v>4</v>
      </c>
      <c r="V25" s="3">
        <v>1</v>
      </c>
      <c r="W25" s="3">
        <v>3</v>
      </c>
      <c r="X25" s="3">
        <v>1</v>
      </c>
      <c r="Y25" s="3">
        <v>2</v>
      </c>
      <c r="Z25" s="3">
        <v>2</v>
      </c>
      <c r="AA25" s="3">
        <v>1</v>
      </c>
      <c r="AB25" s="3" t="s">
        <v>19</v>
      </c>
      <c r="AC25" s="3">
        <v>2</v>
      </c>
      <c r="AD25" s="3">
        <v>1</v>
      </c>
      <c r="AE25" s="3">
        <v>2</v>
      </c>
      <c r="AF25" s="3">
        <v>2</v>
      </c>
      <c r="AG25" s="3">
        <v>0</v>
      </c>
      <c r="AH25" s="3">
        <v>1</v>
      </c>
      <c r="AI25" s="3">
        <v>0</v>
      </c>
      <c r="AJ25" s="3">
        <v>1</v>
      </c>
      <c r="AK25" s="3">
        <v>0</v>
      </c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</row>
    <row r="26" spans="2:61" ht="14.1" customHeight="1">
      <c r="B26" s="14" t="s">
        <v>5</v>
      </c>
      <c r="C26" s="6">
        <f>SUM(I26:BI26)</f>
        <v>36</v>
      </c>
      <c r="D26" s="11">
        <f>SUM(I26:V26)</f>
        <v>19</v>
      </c>
      <c r="E26" s="11">
        <f>SUM(W26:AI26)</f>
        <v>12</v>
      </c>
      <c r="F26" s="11">
        <f>SUM(AJ26:AV26)</f>
        <v>5</v>
      </c>
      <c r="G26" s="11">
        <f>SUM(AW26:BI26)</f>
        <v>0</v>
      </c>
      <c r="H26" s="11">
        <f>COUNT(I26:BI26)</f>
        <v>25</v>
      </c>
      <c r="I26" s="3">
        <v>4</v>
      </c>
      <c r="J26" s="3">
        <v>1</v>
      </c>
      <c r="K26" s="3">
        <v>2</v>
      </c>
      <c r="L26" s="3">
        <v>1</v>
      </c>
      <c r="M26" s="3">
        <v>1</v>
      </c>
      <c r="N26" s="3" t="s">
        <v>19</v>
      </c>
      <c r="O26" s="3">
        <v>3</v>
      </c>
      <c r="P26" s="3">
        <v>2</v>
      </c>
      <c r="Q26" s="3" t="s">
        <v>19</v>
      </c>
      <c r="R26" s="3">
        <v>1</v>
      </c>
      <c r="S26" s="3">
        <v>2</v>
      </c>
      <c r="T26" s="3">
        <v>0</v>
      </c>
      <c r="U26" s="3">
        <v>1</v>
      </c>
      <c r="V26" s="3">
        <v>1</v>
      </c>
      <c r="W26" s="3">
        <v>0</v>
      </c>
      <c r="X26" s="3">
        <v>3</v>
      </c>
      <c r="Y26" s="3">
        <v>3</v>
      </c>
      <c r="Z26" s="3">
        <v>1</v>
      </c>
      <c r="AA26" s="3">
        <v>0</v>
      </c>
      <c r="AB26" s="3" t="s">
        <v>19</v>
      </c>
      <c r="AC26" s="3" t="s">
        <v>19</v>
      </c>
      <c r="AD26" s="3">
        <v>2</v>
      </c>
      <c r="AE26" s="3">
        <v>1</v>
      </c>
      <c r="AF26" s="3">
        <v>1</v>
      </c>
      <c r="AG26" s="3">
        <v>0</v>
      </c>
      <c r="AH26" s="3">
        <v>0</v>
      </c>
      <c r="AI26" s="3">
        <v>1</v>
      </c>
      <c r="AJ26" s="3">
        <v>1</v>
      </c>
      <c r="AK26" s="3">
        <v>4</v>
      </c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</row>
    <row r="27" spans="2:61" ht="14.1" customHeight="1">
      <c r="B27" s="14" t="s">
        <v>33</v>
      </c>
      <c r="C27" s="6">
        <f>SUM(I27:BI27)</f>
        <v>35</v>
      </c>
      <c r="D27" s="11">
        <f>SUM(I27:V27)</f>
        <v>19</v>
      </c>
      <c r="E27" s="11">
        <f>SUM(W27:AI27)</f>
        <v>15</v>
      </c>
      <c r="F27" s="11">
        <f>SUM(AJ27:AV27)</f>
        <v>1</v>
      </c>
      <c r="G27" s="11">
        <f>SUM(AW27:BI27)</f>
        <v>0</v>
      </c>
      <c r="H27" s="11">
        <f>COUNT(I27:BI27)</f>
        <v>24</v>
      </c>
      <c r="I27" s="3" t="s">
        <v>19</v>
      </c>
      <c r="J27" s="3">
        <v>0</v>
      </c>
      <c r="K27" s="3">
        <v>3</v>
      </c>
      <c r="L27" s="3">
        <v>0</v>
      </c>
      <c r="M27" s="3">
        <v>3</v>
      </c>
      <c r="N27" s="3">
        <v>2</v>
      </c>
      <c r="O27" s="3">
        <v>2</v>
      </c>
      <c r="P27" s="3">
        <v>1</v>
      </c>
      <c r="Q27" s="3">
        <v>2</v>
      </c>
      <c r="R27" s="3">
        <v>1</v>
      </c>
      <c r="S27" s="3">
        <v>1</v>
      </c>
      <c r="T27" s="3">
        <v>1</v>
      </c>
      <c r="U27" s="3">
        <v>1</v>
      </c>
      <c r="V27" s="3">
        <v>2</v>
      </c>
      <c r="W27" s="3" t="s">
        <v>19</v>
      </c>
      <c r="X27" s="3">
        <v>1</v>
      </c>
      <c r="Y27" s="3" t="s">
        <v>19</v>
      </c>
      <c r="Z27" s="3">
        <v>3</v>
      </c>
      <c r="AA27" s="3">
        <v>2</v>
      </c>
      <c r="AB27" s="3">
        <v>5</v>
      </c>
      <c r="AC27" s="3">
        <v>0</v>
      </c>
      <c r="AD27" s="3" t="s">
        <v>19</v>
      </c>
      <c r="AE27" s="3" t="s">
        <v>19</v>
      </c>
      <c r="AF27" s="3">
        <v>2</v>
      </c>
      <c r="AG27" s="3">
        <v>0</v>
      </c>
      <c r="AH27" s="3">
        <v>1</v>
      </c>
      <c r="AI27" s="3">
        <v>1</v>
      </c>
      <c r="AJ27" s="3">
        <v>1</v>
      </c>
      <c r="AK27" s="3">
        <v>0</v>
      </c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</row>
    <row r="28" spans="2:61" ht="14.1" customHeight="1">
      <c r="B28" s="14" t="s">
        <v>11</v>
      </c>
      <c r="C28" s="6">
        <f>SUM(I28:BI28)</f>
        <v>29</v>
      </c>
      <c r="D28" s="11">
        <f>SUM(I28:V28)</f>
        <v>14</v>
      </c>
      <c r="E28" s="11">
        <f>SUM(W28:AI28)</f>
        <v>14</v>
      </c>
      <c r="F28" s="11">
        <f>SUM(AJ28:AV28)</f>
        <v>1</v>
      </c>
      <c r="G28" s="11">
        <f>SUM(AW28:BI28)</f>
        <v>0</v>
      </c>
      <c r="H28" s="11">
        <f>COUNT(I28:BI28)</f>
        <v>21</v>
      </c>
      <c r="I28" s="3">
        <v>0</v>
      </c>
      <c r="J28" s="3" t="s">
        <v>19</v>
      </c>
      <c r="K28" s="3">
        <v>2</v>
      </c>
      <c r="L28" s="3">
        <v>1</v>
      </c>
      <c r="M28" s="3">
        <v>1</v>
      </c>
      <c r="N28" s="3">
        <v>2</v>
      </c>
      <c r="O28" s="3">
        <v>1</v>
      </c>
      <c r="P28" s="3" t="s">
        <v>19</v>
      </c>
      <c r="Q28" s="3">
        <v>1</v>
      </c>
      <c r="R28" s="3">
        <v>2</v>
      </c>
      <c r="S28" s="3">
        <v>2</v>
      </c>
      <c r="T28" s="3">
        <v>1</v>
      </c>
      <c r="U28" s="3">
        <v>1</v>
      </c>
      <c r="V28" s="3" t="s">
        <v>19</v>
      </c>
      <c r="W28" s="3">
        <v>1</v>
      </c>
      <c r="X28" s="3">
        <v>1</v>
      </c>
      <c r="Y28" s="3">
        <v>2</v>
      </c>
      <c r="Z28" s="3">
        <v>2</v>
      </c>
      <c r="AA28" s="3">
        <v>2</v>
      </c>
      <c r="AB28" s="3">
        <v>2</v>
      </c>
      <c r="AC28" s="3" t="s">
        <v>19</v>
      </c>
      <c r="AD28" s="3" t="s">
        <v>19</v>
      </c>
      <c r="AE28" s="3">
        <v>2</v>
      </c>
      <c r="AF28" s="3">
        <v>1</v>
      </c>
      <c r="AG28" s="3" t="s">
        <v>19</v>
      </c>
      <c r="AH28" s="3" t="s">
        <v>19</v>
      </c>
      <c r="AI28" s="3">
        <v>1</v>
      </c>
      <c r="AJ28" s="3" t="s">
        <v>19</v>
      </c>
      <c r="AK28" s="3">
        <v>1</v>
      </c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</row>
    <row r="29" spans="2:61" ht="14.1" customHeight="1">
      <c r="B29" s="14" t="s">
        <v>3</v>
      </c>
      <c r="C29" s="6">
        <f>SUM(I29:BI29)</f>
        <v>28</v>
      </c>
      <c r="D29" s="11">
        <f>SUM(I29:V29)</f>
        <v>10</v>
      </c>
      <c r="E29" s="11">
        <f>SUM(W29:AI29)</f>
        <v>17</v>
      </c>
      <c r="F29" s="11">
        <f>SUM(AJ29:AV29)</f>
        <v>1</v>
      </c>
      <c r="G29" s="11">
        <f>SUM(AW29:BI29)</f>
        <v>0</v>
      </c>
      <c r="H29" s="11">
        <f>COUNT(I29:BI29)</f>
        <v>24</v>
      </c>
      <c r="I29" s="3">
        <v>1</v>
      </c>
      <c r="J29" s="3">
        <v>1</v>
      </c>
      <c r="K29" s="3">
        <v>0</v>
      </c>
      <c r="L29" s="3">
        <v>3</v>
      </c>
      <c r="M29" s="3">
        <v>1</v>
      </c>
      <c r="N29" s="3">
        <v>1</v>
      </c>
      <c r="O29" s="3">
        <v>2</v>
      </c>
      <c r="P29" s="3" t="s">
        <v>19</v>
      </c>
      <c r="Q29" s="3" t="s">
        <v>19</v>
      </c>
      <c r="R29" s="3">
        <v>0</v>
      </c>
      <c r="S29" s="3">
        <v>0</v>
      </c>
      <c r="T29" s="3">
        <v>1</v>
      </c>
      <c r="U29" s="3">
        <v>0</v>
      </c>
      <c r="V29" s="3">
        <v>0</v>
      </c>
      <c r="W29" s="3">
        <v>1</v>
      </c>
      <c r="X29" s="3">
        <v>1</v>
      </c>
      <c r="Y29" s="3">
        <v>6</v>
      </c>
      <c r="Z29" s="3" t="s">
        <v>19</v>
      </c>
      <c r="AA29" s="3">
        <v>1</v>
      </c>
      <c r="AB29" s="3">
        <v>3</v>
      </c>
      <c r="AC29" s="3">
        <v>2</v>
      </c>
      <c r="AD29" s="3">
        <v>0</v>
      </c>
      <c r="AE29" s="3" t="s">
        <v>19</v>
      </c>
      <c r="AF29" s="3">
        <v>0</v>
      </c>
      <c r="AG29" s="3">
        <v>1</v>
      </c>
      <c r="AH29" s="3">
        <v>2</v>
      </c>
      <c r="AI29" s="3">
        <v>0</v>
      </c>
      <c r="AJ29" s="3">
        <v>1</v>
      </c>
      <c r="AK29" s="3" t="s">
        <v>19</v>
      </c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</row>
    <row r="30" spans="2:61" ht="14.1" customHeight="1">
      <c r="B30" s="14" t="s">
        <v>35</v>
      </c>
      <c r="C30" s="6">
        <f>SUM(I30:BI30)</f>
        <v>24</v>
      </c>
      <c r="D30" s="11">
        <f>SUM(I30:V30)</f>
        <v>11</v>
      </c>
      <c r="E30" s="11">
        <f>SUM(W30:AI30)</f>
        <v>12</v>
      </c>
      <c r="F30" s="11">
        <f>SUM(AJ30:AV30)</f>
        <v>1</v>
      </c>
      <c r="G30" s="11">
        <f>SUM(AW30:BI30)</f>
        <v>0</v>
      </c>
      <c r="H30" s="11">
        <f>COUNT(I30:BI30)</f>
        <v>28</v>
      </c>
      <c r="I30" s="3">
        <v>2</v>
      </c>
      <c r="J30" s="3">
        <v>0</v>
      </c>
      <c r="K30" s="3">
        <v>0</v>
      </c>
      <c r="L30" s="3">
        <v>1</v>
      </c>
      <c r="M30" s="3">
        <v>0</v>
      </c>
      <c r="N30" s="3">
        <v>2</v>
      </c>
      <c r="O30" s="3">
        <v>1</v>
      </c>
      <c r="P30" s="3">
        <v>0</v>
      </c>
      <c r="Q30" s="3">
        <v>0</v>
      </c>
      <c r="R30" s="3">
        <v>1</v>
      </c>
      <c r="S30" s="3" t="s">
        <v>19</v>
      </c>
      <c r="T30" s="3">
        <v>1</v>
      </c>
      <c r="U30" s="3">
        <v>1</v>
      </c>
      <c r="V30" s="3">
        <v>2</v>
      </c>
      <c r="W30" s="3">
        <v>0</v>
      </c>
      <c r="X30" s="3">
        <v>0</v>
      </c>
      <c r="Y30" s="3">
        <v>0</v>
      </c>
      <c r="Z30" s="3">
        <v>2</v>
      </c>
      <c r="AA30" s="3">
        <v>1</v>
      </c>
      <c r="AB30" s="3">
        <v>0</v>
      </c>
      <c r="AC30" s="3">
        <v>1</v>
      </c>
      <c r="AD30" s="3">
        <v>1</v>
      </c>
      <c r="AE30" s="3">
        <v>0</v>
      </c>
      <c r="AF30" s="3">
        <v>3</v>
      </c>
      <c r="AG30" s="3">
        <v>2</v>
      </c>
      <c r="AH30" s="3">
        <v>2</v>
      </c>
      <c r="AI30" s="3">
        <v>0</v>
      </c>
      <c r="AJ30" s="3">
        <v>1</v>
      </c>
      <c r="AK30" s="3">
        <v>0</v>
      </c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</row>
    <row r="31" spans="2:61" ht="14.1" customHeight="1">
      <c r="B31" s="14" t="s">
        <v>18</v>
      </c>
      <c r="C31" s="6">
        <f>SUM(I31:BI31)</f>
        <v>23</v>
      </c>
      <c r="D31" s="11">
        <f>SUM(I31:V31)</f>
        <v>13</v>
      </c>
      <c r="E31" s="11">
        <f>SUM(W31:AI31)</f>
        <v>10</v>
      </c>
      <c r="F31" s="11">
        <f>SUM(AJ31:AV31)</f>
        <v>0</v>
      </c>
      <c r="G31" s="11">
        <f>SUM(AW31:BI31)</f>
        <v>0</v>
      </c>
      <c r="H31" s="11">
        <f>COUNT(I31:BI31)</f>
        <v>27</v>
      </c>
      <c r="I31" s="3">
        <v>0</v>
      </c>
      <c r="J31" s="3">
        <v>0</v>
      </c>
      <c r="K31" s="3">
        <v>0</v>
      </c>
      <c r="L31" s="3">
        <v>0</v>
      </c>
      <c r="M31" s="3" t="s">
        <v>19</v>
      </c>
      <c r="N31" s="3">
        <v>0</v>
      </c>
      <c r="O31" s="3">
        <v>5</v>
      </c>
      <c r="P31" s="3" t="s">
        <v>19</v>
      </c>
      <c r="Q31" s="3">
        <v>2</v>
      </c>
      <c r="R31" s="3">
        <v>0</v>
      </c>
      <c r="S31" s="3">
        <v>1</v>
      </c>
      <c r="T31" s="3">
        <v>2</v>
      </c>
      <c r="U31" s="3">
        <v>3</v>
      </c>
      <c r="V31" s="3">
        <v>0</v>
      </c>
      <c r="W31" s="3">
        <v>1</v>
      </c>
      <c r="X31" s="3">
        <v>1</v>
      </c>
      <c r="Y31" s="3">
        <v>2</v>
      </c>
      <c r="Z31" s="3">
        <v>0</v>
      </c>
      <c r="AA31" s="3">
        <v>0</v>
      </c>
      <c r="AB31" s="3">
        <v>2</v>
      </c>
      <c r="AC31" s="3">
        <v>1</v>
      </c>
      <c r="AD31" s="3">
        <v>1</v>
      </c>
      <c r="AE31" s="3">
        <v>0</v>
      </c>
      <c r="AF31" s="3">
        <v>0</v>
      </c>
      <c r="AG31" s="3">
        <v>2</v>
      </c>
      <c r="AH31" s="3">
        <v>0</v>
      </c>
      <c r="AI31" s="3">
        <v>0</v>
      </c>
      <c r="AJ31" s="3">
        <v>0</v>
      </c>
      <c r="AK31" s="3">
        <v>0</v>
      </c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</row>
    <row r="32" spans="2:61" ht="14.1" customHeight="1">
      <c r="B32" s="14" t="s">
        <v>15</v>
      </c>
      <c r="C32" s="6">
        <f>SUM(I32:BI32)</f>
        <v>19</v>
      </c>
      <c r="D32" s="11">
        <f>SUM(I32:V32)</f>
        <v>8</v>
      </c>
      <c r="E32" s="11">
        <f>SUM(W32:AI32)</f>
        <v>11</v>
      </c>
      <c r="F32" s="11">
        <f>SUM(AJ32:AV32)</f>
        <v>0</v>
      </c>
      <c r="G32" s="11">
        <f>SUM(AW32:BI32)</f>
        <v>0</v>
      </c>
      <c r="H32" s="11">
        <f>COUNT(I32:BI32)</f>
        <v>14</v>
      </c>
      <c r="I32" s="3" t="s">
        <v>19</v>
      </c>
      <c r="J32" s="3">
        <v>1</v>
      </c>
      <c r="K32" s="3" t="s">
        <v>19</v>
      </c>
      <c r="L32" s="3" t="s">
        <v>19</v>
      </c>
      <c r="M32" s="3" t="s">
        <v>19</v>
      </c>
      <c r="N32" s="3" t="s">
        <v>19</v>
      </c>
      <c r="O32" s="3" t="s">
        <v>19</v>
      </c>
      <c r="P32" s="3">
        <v>1</v>
      </c>
      <c r="Q32" s="3">
        <v>1</v>
      </c>
      <c r="R32" s="3">
        <v>2</v>
      </c>
      <c r="S32" s="3">
        <v>1</v>
      </c>
      <c r="T32" s="3">
        <v>2</v>
      </c>
      <c r="U32" s="3" t="s">
        <v>19</v>
      </c>
      <c r="V32" s="3">
        <v>0</v>
      </c>
      <c r="W32" s="3">
        <v>0</v>
      </c>
      <c r="X32" s="3">
        <v>1</v>
      </c>
      <c r="Y32" s="3" t="s">
        <v>19</v>
      </c>
      <c r="Z32" s="3">
        <v>1</v>
      </c>
      <c r="AA32" s="3" t="s">
        <v>19</v>
      </c>
      <c r="AB32" s="3" t="s">
        <v>19</v>
      </c>
      <c r="AC32" s="3">
        <v>4</v>
      </c>
      <c r="AD32" s="3" t="s">
        <v>19</v>
      </c>
      <c r="AE32" s="3">
        <v>3</v>
      </c>
      <c r="AF32" s="3" t="s">
        <v>19</v>
      </c>
      <c r="AG32" s="3">
        <v>0</v>
      </c>
      <c r="AH32" s="3" t="s">
        <v>19</v>
      </c>
      <c r="AI32" s="3">
        <v>2</v>
      </c>
      <c r="AJ32" s="3" t="s">
        <v>19</v>
      </c>
      <c r="AK32" s="3" t="s">
        <v>19</v>
      </c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</row>
    <row r="33" spans="2:61" ht="14.1" customHeight="1">
      <c r="B33" s="14" t="s">
        <v>7</v>
      </c>
      <c r="C33" s="6">
        <f>SUM(I33:BI33)</f>
        <v>16</v>
      </c>
      <c r="D33" s="11">
        <f>SUM(I33:V33)</f>
        <v>10</v>
      </c>
      <c r="E33" s="11">
        <f>SUM(W33:AI33)</f>
        <v>6</v>
      </c>
      <c r="F33" s="11">
        <f>SUM(AJ33:AV33)</f>
        <v>0</v>
      </c>
      <c r="G33" s="11">
        <f>SUM(AW33:BI33)</f>
        <v>0</v>
      </c>
      <c r="H33" s="11">
        <f>COUNT(I33:BI33)</f>
        <v>21</v>
      </c>
      <c r="I33" s="3">
        <v>2</v>
      </c>
      <c r="J33" s="3">
        <v>4</v>
      </c>
      <c r="K33" s="3">
        <v>0</v>
      </c>
      <c r="L33" s="3">
        <v>1</v>
      </c>
      <c r="M33" s="3" t="s">
        <v>19</v>
      </c>
      <c r="N33" s="3" t="s">
        <v>19</v>
      </c>
      <c r="O33" s="3" t="s">
        <v>19</v>
      </c>
      <c r="P33" s="3">
        <v>1</v>
      </c>
      <c r="Q33" s="3">
        <v>0</v>
      </c>
      <c r="R33" s="3">
        <v>2</v>
      </c>
      <c r="S33" s="3" t="s">
        <v>19</v>
      </c>
      <c r="T33" s="3">
        <v>0</v>
      </c>
      <c r="U33" s="3" t="s">
        <v>19</v>
      </c>
      <c r="V33" s="3">
        <v>0</v>
      </c>
      <c r="W33" s="3">
        <v>1</v>
      </c>
      <c r="X33" s="3">
        <v>4</v>
      </c>
      <c r="Y33" s="3">
        <v>0</v>
      </c>
      <c r="Z33" s="3">
        <v>0</v>
      </c>
      <c r="AA33" s="3">
        <v>1</v>
      </c>
      <c r="AB33" s="3">
        <v>0</v>
      </c>
      <c r="AC33" s="3">
        <v>0</v>
      </c>
      <c r="AD33" s="3">
        <v>0</v>
      </c>
      <c r="AE33" s="3" t="s">
        <v>19</v>
      </c>
      <c r="AF33" s="3" t="s">
        <v>19</v>
      </c>
      <c r="AG33" s="3">
        <v>0</v>
      </c>
      <c r="AH33" s="3">
        <v>0</v>
      </c>
      <c r="AI33" s="3" t="s">
        <v>19</v>
      </c>
      <c r="AJ33" s="3">
        <v>0</v>
      </c>
      <c r="AK33" s="3">
        <v>0</v>
      </c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</row>
    <row r="34" spans="2:61" ht="14.1" customHeight="1">
      <c r="B34" s="14" t="s">
        <v>6</v>
      </c>
      <c r="C34" s="6">
        <f>SUM(I34:BI34)</f>
        <v>10</v>
      </c>
      <c r="D34" s="11">
        <f>SUM(I34:V34)</f>
        <v>4</v>
      </c>
      <c r="E34" s="11">
        <f>SUM(W34:AI34)</f>
        <v>3</v>
      </c>
      <c r="F34" s="11">
        <f>SUM(AJ34:AV34)</f>
        <v>3</v>
      </c>
      <c r="G34" s="11">
        <f>SUM(AW34:BI34)</f>
        <v>0</v>
      </c>
      <c r="H34" s="11">
        <f>COUNT(I34:BI34)</f>
        <v>18</v>
      </c>
      <c r="I34" s="3">
        <v>0</v>
      </c>
      <c r="J34" s="3">
        <v>0</v>
      </c>
      <c r="K34" s="3" t="s">
        <v>19</v>
      </c>
      <c r="L34" s="3">
        <v>0</v>
      </c>
      <c r="M34" s="3">
        <v>0</v>
      </c>
      <c r="N34" s="3" t="s">
        <v>19</v>
      </c>
      <c r="O34" s="3">
        <v>1</v>
      </c>
      <c r="P34" s="3" t="s">
        <v>19</v>
      </c>
      <c r="Q34" s="3">
        <v>1</v>
      </c>
      <c r="R34" s="3">
        <v>0</v>
      </c>
      <c r="S34" s="3" t="s">
        <v>19</v>
      </c>
      <c r="T34" s="3" t="s">
        <v>19</v>
      </c>
      <c r="U34" s="3">
        <v>2</v>
      </c>
      <c r="V34" s="3" t="s">
        <v>19</v>
      </c>
      <c r="W34" s="3">
        <v>0</v>
      </c>
      <c r="X34" s="3">
        <v>0</v>
      </c>
      <c r="Y34" s="3">
        <v>1</v>
      </c>
      <c r="Z34" s="3" t="s">
        <v>19</v>
      </c>
      <c r="AA34" s="3">
        <v>1</v>
      </c>
      <c r="AB34" s="3">
        <v>0</v>
      </c>
      <c r="AC34" s="3">
        <v>1</v>
      </c>
      <c r="AD34" s="3">
        <v>0</v>
      </c>
      <c r="AE34" s="3" t="s">
        <v>19</v>
      </c>
      <c r="AF34" s="3">
        <v>0</v>
      </c>
      <c r="AG34" s="3" t="s">
        <v>19</v>
      </c>
      <c r="AH34" s="3" t="s">
        <v>19</v>
      </c>
      <c r="AI34" s="3" t="s">
        <v>19</v>
      </c>
      <c r="AJ34" s="3">
        <v>1</v>
      </c>
      <c r="AK34" s="3">
        <v>2</v>
      </c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</row>
    <row r="35" spans="2:61" ht="14.1" customHeight="1">
      <c r="B35" s="14" t="s">
        <v>36</v>
      </c>
      <c r="C35" s="6">
        <f>SUM(I35:BI35)</f>
        <v>5</v>
      </c>
      <c r="D35" s="11">
        <f>SUM(I35:V35)</f>
        <v>3</v>
      </c>
      <c r="E35" s="11">
        <f>SUM(W35:AI35)</f>
        <v>2</v>
      </c>
      <c r="F35" s="11">
        <f>SUM(AJ35:AV35)</f>
        <v>0</v>
      </c>
      <c r="G35" s="11">
        <f>SUM(AW35:BI35)</f>
        <v>0</v>
      </c>
      <c r="H35" s="11">
        <f>COUNT(I35:BI35)</f>
        <v>18</v>
      </c>
      <c r="I35" s="3" t="s">
        <v>19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 t="s">
        <v>19</v>
      </c>
      <c r="P35" s="3">
        <v>0</v>
      </c>
      <c r="Q35" s="3" t="s">
        <v>19</v>
      </c>
      <c r="R35" s="3" t="s">
        <v>19</v>
      </c>
      <c r="S35" s="3">
        <v>0</v>
      </c>
      <c r="T35" s="3">
        <v>1</v>
      </c>
      <c r="U35" s="3">
        <v>1</v>
      </c>
      <c r="V35" s="3">
        <v>1</v>
      </c>
      <c r="W35" s="3" t="s">
        <v>19</v>
      </c>
      <c r="X35" s="3" t="s">
        <v>19</v>
      </c>
      <c r="Y35" s="3">
        <v>0</v>
      </c>
      <c r="Z35" s="3">
        <v>0</v>
      </c>
      <c r="AA35" s="3" t="s">
        <v>19</v>
      </c>
      <c r="AB35" s="3">
        <v>0</v>
      </c>
      <c r="AC35" s="3" t="s">
        <v>19</v>
      </c>
      <c r="AD35" s="3" t="s">
        <v>19</v>
      </c>
      <c r="AE35" s="3" t="s">
        <v>19</v>
      </c>
      <c r="AF35" s="3">
        <v>0</v>
      </c>
      <c r="AG35" s="3">
        <v>1</v>
      </c>
      <c r="AH35" s="3">
        <v>1</v>
      </c>
      <c r="AI35" s="3" t="s">
        <v>19</v>
      </c>
      <c r="AJ35" s="3">
        <v>0</v>
      </c>
      <c r="AK35" s="3">
        <v>0</v>
      </c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</row>
    <row r="36" spans="2:61" ht="14.1" customHeight="1">
      <c r="B36" s="14" t="s">
        <v>17</v>
      </c>
      <c r="C36" s="6">
        <f>SUM(I36:BI36)</f>
        <v>4</v>
      </c>
      <c r="D36" s="11">
        <f>SUM(I36:V36)</f>
        <v>0</v>
      </c>
      <c r="E36" s="11">
        <f>SUM(W36:AI36)</f>
        <v>3</v>
      </c>
      <c r="F36" s="11">
        <f>SUM(AJ36:AV36)</f>
        <v>1</v>
      </c>
      <c r="G36" s="11">
        <f>SUM(AW36:BI36)</f>
        <v>0</v>
      </c>
      <c r="H36" s="11">
        <f>COUNT(I36:BI36)</f>
        <v>6</v>
      </c>
      <c r="I36" s="3" t="s">
        <v>19</v>
      </c>
      <c r="J36" s="3" t="s">
        <v>19</v>
      </c>
      <c r="K36" s="3" t="s">
        <v>19</v>
      </c>
      <c r="L36" s="3" t="s">
        <v>19</v>
      </c>
      <c r="M36" s="3" t="s">
        <v>19</v>
      </c>
      <c r="N36" s="3" t="s">
        <v>19</v>
      </c>
      <c r="O36" s="3" t="s">
        <v>19</v>
      </c>
      <c r="P36" s="3" t="s">
        <v>19</v>
      </c>
      <c r="Q36" s="3" t="s">
        <v>19</v>
      </c>
      <c r="R36" s="3" t="s">
        <v>19</v>
      </c>
      <c r="S36" s="3" t="s">
        <v>19</v>
      </c>
      <c r="T36" s="3" t="s">
        <v>19</v>
      </c>
      <c r="U36" s="3" t="s">
        <v>19</v>
      </c>
      <c r="V36" s="3" t="s">
        <v>19</v>
      </c>
      <c r="W36" s="3" t="s">
        <v>19</v>
      </c>
      <c r="X36" s="3" t="s">
        <v>19</v>
      </c>
      <c r="Y36" s="3" t="s">
        <v>19</v>
      </c>
      <c r="Z36" s="3" t="s">
        <v>19</v>
      </c>
      <c r="AA36" s="3" t="s">
        <v>19</v>
      </c>
      <c r="AB36" s="3">
        <v>0</v>
      </c>
      <c r="AC36" s="3" t="s">
        <v>19</v>
      </c>
      <c r="AD36" s="3" t="s">
        <v>19</v>
      </c>
      <c r="AE36" s="3" t="s">
        <v>19</v>
      </c>
      <c r="AF36" s="3" t="s">
        <v>19</v>
      </c>
      <c r="AG36" s="3">
        <v>1</v>
      </c>
      <c r="AH36" s="3">
        <v>1</v>
      </c>
      <c r="AI36" s="3">
        <v>1</v>
      </c>
      <c r="AJ36" s="3">
        <v>0</v>
      </c>
      <c r="AK36" s="3">
        <v>1</v>
      </c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</row>
    <row r="37" spans="2:61" ht="14.1" customHeight="1">
      <c r="B37" s="14" t="s">
        <v>10</v>
      </c>
      <c r="C37" s="6">
        <f>SUM(I37:BI37)</f>
        <v>0</v>
      </c>
      <c r="D37" s="11">
        <f>SUM(I37:V37)</f>
        <v>0</v>
      </c>
      <c r="E37" s="11">
        <f>SUM(W37:AI37)</f>
        <v>0</v>
      </c>
      <c r="F37" s="11">
        <f>SUM(AJ37:AV37)</f>
        <v>0</v>
      </c>
      <c r="G37" s="11">
        <f>SUM(AW37:BI37)</f>
        <v>0</v>
      </c>
      <c r="H37" s="11">
        <f>COUNT(I37:BI37)</f>
        <v>2</v>
      </c>
      <c r="I37" s="3" t="s">
        <v>19</v>
      </c>
      <c r="J37" s="3" t="s">
        <v>19</v>
      </c>
      <c r="K37" s="3">
        <v>0</v>
      </c>
      <c r="L37" s="3" t="s">
        <v>19</v>
      </c>
      <c r="M37" s="3" t="s">
        <v>19</v>
      </c>
      <c r="N37" s="3" t="s">
        <v>19</v>
      </c>
      <c r="O37" s="3" t="s">
        <v>19</v>
      </c>
      <c r="P37" s="3" t="s">
        <v>19</v>
      </c>
      <c r="Q37" s="3" t="s">
        <v>19</v>
      </c>
      <c r="R37" s="3" t="s">
        <v>19</v>
      </c>
      <c r="S37" s="3" t="s">
        <v>19</v>
      </c>
      <c r="T37" s="3" t="s">
        <v>19</v>
      </c>
      <c r="U37" s="3" t="s">
        <v>19</v>
      </c>
      <c r="V37" s="3" t="s">
        <v>19</v>
      </c>
      <c r="W37" s="3" t="s">
        <v>19</v>
      </c>
      <c r="X37" s="3" t="s">
        <v>19</v>
      </c>
      <c r="Y37" s="3" t="s">
        <v>19</v>
      </c>
      <c r="Z37" s="3" t="s">
        <v>19</v>
      </c>
      <c r="AA37" s="3" t="s">
        <v>19</v>
      </c>
      <c r="AB37" s="3">
        <v>0</v>
      </c>
      <c r="AC37" s="3" t="s">
        <v>19</v>
      </c>
      <c r="AD37" s="3" t="s">
        <v>19</v>
      </c>
      <c r="AE37" s="3" t="s">
        <v>19</v>
      </c>
      <c r="AF37" s="3" t="s">
        <v>19</v>
      </c>
      <c r="AG37" s="3" t="s">
        <v>19</v>
      </c>
      <c r="AH37" s="3" t="s">
        <v>19</v>
      </c>
      <c r="AI37" s="3" t="s">
        <v>19</v>
      </c>
      <c r="AJ37" s="3" t="s">
        <v>19</v>
      </c>
      <c r="AK37" s="3" t="s">
        <v>19</v>
      </c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</row>
    <row r="38" spans="2:61" ht="14.1" customHeight="1">
      <c r="B38" s="4" t="s">
        <v>21</v>
      </c>
      <c r="C38" s="7" t="s">
        <v>1</v>
      </c>
      <c r="D38" s="7" t="s">
        <v>27</v>
      </c>
      <c r="E38" s="7" t="s">
        <v>29</v>
      </c>
      <c r="F38" s="7" t="s">
        <v>31</v>
      </c>
      <c r="G38" s="7" t="s">
        <v>32</v>
      </c>
      <c r="H38" s="7" t="s">
        <v>4</v>
      </c>
      <c r="I38" s="5">
        <v>46025</v>
      </c>
      <c r="J38" s="5">
        <f>I38+7</f>
        <v>46032</v>
      </c>
      <c r="K38" s="5">
        <f t="shared" ref="K38:BH38" si="7">J38+7</f>
        <v>46039</v>
      </c>
      <c r="L38" s="5">
        <f t="shared" si="7"/>
        <v>46046</v>
      </c>
      <c r="M38" s="5">
        <f t="shared" si="7"/>
        <v>46053</v>
      </c>
      <c r="N38" s="5">
        <f t="shared" si="7"/>
        <v>46060</v>
      </c>
      <c r="O38" s="5">
        <f t="shared" si="7"/>
        <v>46067</v>
      </c>
      <c r="P38" s="5">
        <v>46070</v>
      </c>
      <c r="Q38" s="5">
        <f>O38+7</f>
        <v>46074</v>
      </c>
      <c r="R38" s="5">
        <f t="shared" si="7"/>
        <v>46081</v>
      </c>
      <c r="S38" s="5">
        <f t="shared" si="7"/>
        <v>46088</v>
      </c>
      <c r="T38" s="5">
        <f t="shared" si="7"/>
        <v>46095</v>
      </c>
      <c r="U38" s="5">
        <f t="shared" si="7"/>
        <v>46102</v>
      </c>
      <c r="V38" s="5">
        <f t="shared" si="7"/>
        <v>46109</v>
      </c>
      <c r="W38" s="5">
        <f t="shared" si="7"/>
        <v>46116</v>
      </c>
      <c r="X38" s="5">
        <f t="shared" si="7"/>
        <v>46123</v>
      </c>
      <c r="Y38" s="5">
        <f t="shared" si="7"/>
        <v>46130</v>
      </c>
      <c r="Z38" s="5">
        <f t="shared" si="7"/>
        <v>46137</v>
      </c>
      <c r="AA38" s="5">
        <f t="shared" si="7"/>
        <v>46144</v>
      </c>
      <c r="AB38" s="5">
        <f t="shared" si="7"/>
        <v>46151</v>
      </c>
      <c r="AC38" s="5">
        <f t="shared" si="7"/>
        <v>46158</v>
      </c>
      <c r="AD38" s="5">
        <f t="shared" si="7"/>
        <v>46165</v>
      </c>
      <c r="AE38" s="5">
        <f t="shared" si="7"/>
        <v>46172</v>
      </c>
      <c r="AF38" s="5">
        <f t="shared" si="7"/>
        <v>46179</v>
      </c>
      <c r="AG38" s="5">
        <f t="shared" si="7"/>
        <v>46186</v>
      </c>
      <c r="AH38" s="5">
        <f t="shared" si="7"/>
        <v>46193</v>
      </c>
      <c r="AI38" s="5">
        <f t="shared" si="7"/>
        <v>46200</v>
      </c>
      <c r="AJ38" s="5">
        <f t="shared" si="7"/>
        <v>46207</v>
      </c>
      <c r="AK38" s="5">
        <f t="shared" si="7"/>
        <v>46214</v>
      </c>
      <c r="AL38" s="5">
        <f t="shared" si="7"/>
        <v>46221</v>
      </c>
      <c r="AM38" s="5">
        <f t="shared" si="7"/>
        <v>46228</v>
      </c>
      <c r="AN38" s="5">
        <f t="shared" si="7"/>
        <v>46235</v>
      </c>
      <c r="AO38" s="5">
        <f t="shared" si="7"/>
        <v>46242</v>
      </c>
      <c r="AP38" s="5">
        <f t="shared" si="7"/>
        <v>46249</v>
      </c>
      <c r="AQ38" s="5">
        <f t="shared" si="7"/>
        <v>46256</v>
      </c>
      <c r="AR38" s="5">
        <f t="shared" si="7"/>
        <v>46263</v>
      </c>
      <c r="AS38" s="5">
        <f t="shared" si="7"/>
        <v>46270</v>
      </c>
      <c r="AT38" s="5">
        <f t="shared" si="7"/>
        <v>46277</v>
      </c>
      <c r="AU38" s="5">
        <f t="shared" si="7"/>
        <v>46284</v>
      </c>
      <c r="AV38" s="5">
        <f t="shared" si="7"/>
        <v>46291</v>
      </c>
      <c r="AW38" s="5">
        <f t="shared" si="7"/>
        <v>46298</v>
      </c>
      <c r="AX38" s="5">
        <f t="shared" si="7"/>
        <v>46305</v>
      </c>
      <c r="AY38" s="5">
        <f t="shared" si="7"/>
        <v>46312</v>
      </c>
      <c r="AZ38" s="5">
        <f t="shared" si="7"/>
        <v>46319</v>
      </c>
      <c r="BA38" s="5">
        <f t="shared" si="7"/>
        <v>46326</v>
      </c>
      <c r="BB38" s="5">
        <f t="shared" si="7"/>
        <v>46333</v>
      </c>
      <c r="BC38" s="5">
        <f t="shared" si="7"/>
        <v>46340</v>
      </c>
      <c r="BD38" s="5">
        <f t="shared" si="7"/>
        <v>46347</v>
      </c>
      <c r="BE38" s="5">
        <f t="shared" si="7"/>
        <v>46354</v>
      </c>
      <c r="BF38" s="5">
        <f t="shared" si="7"/>
        <v>46361</v>
      </c>
      <c r="BG38" s="5">
        <f t="shared" si="7"/>
        <v>46368</v>
      </c>
      <c r="BH38" s="5">
        <f t="shared" si="7"/>
        <v>46375</v>
      </c>
      <c r="BI38" s="5">
        <f t="shared" ref="BI38" si="8">BH38+7</f>
        <v>46382</v>
      </c>
    </row>
    <row r="39" spans="2:61" ht="14.1" customHeight="1">
      <c r="B39" s="14" t="s">
        <v>16</v>
      </c>
      <c r="C39" s="6">
        <f>SUM(I39:BI39)</f>
        <v>0</v>
      </c>
      <c r="D39" s="11">
        <f t="shared" ref="D39:D40" si="9">SUM(I39:V39)</f>
        <v>0</v>
      </c>
      <c r="E39" s="11">
        <f t="shared" ref="E39:E40" si="10">SUM(W39:AI39)</f>
        <v>0</v>
      </c>
      <c r="F39" s="11">
        <f t="shared" ref="F39:F40" si="11">SUM(AJ39:AV39)</f>
        <v>0</v>
      </c>
      <c r="G39" s="11">
        <f t="shared" ref="G39:G40" si="12">SUM(AW39:BI39)</f>
        <v>0</v>
      </c>
      <c r="H39" s="11">
        <f t="shared" ref="H39:H40" si="13">COUNT(I39:BI39)</f>
        <v>24</v>
      </c>
      <c r="I39" s="3">
        <v>0</v>
      </c>
      <c r="J39" s="3">
        <v>0</v>
      </c>
      <c r="K39" s="3">
        <v>0</v>
      </c>
      <c r="L39" s="3">
        <v>0</v>
      </c>
      <c r="M39" s="3" t="s">
        <v>19</v>
      </c>
      <c r="N39" s="3">
        <v>0</v>
      </c>
      <c r="O39" s="3" t="s">
        <v>19</v>
      </c>
      <c r="P39" s="3" t="s">
        <v>19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 t="s">
        <v>19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 t="s">
        <v>19</v>
      </c>
      <c r="AI39" s="3">
        <v>0</v>
      </c>
      <c r="AJ39" s="3">
        <v>0</v>
      </c>
      <c r="AK39" s="3">
        <v>0</v>
      </c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</row>
    <row r="40" spans="2:61" ht="14.1" customHeight="1">
      <c r="B40" s="14" t="s">
        <v>22</v>
      </c>
      <c r="C40" s="6">
        <f>SUM(I40:BI40)</f>
        <v>0</v>
      </c>
      <c r="D40" s="11">
        <f t="shared" si="9"/>
        <v>0</v>
      </c>
      <c r="E40" s="11">
        <f t="shared" si="10"/>
        <v>0</v>
      </c>
      <c r="F40" s="11">
        <f t="shared" si="11"/>
        <v>0</v>
      </c>
      <c r="G40" s="11">
        <f t="shared" si="12"/>
        <v>0</v>
      </c>
      <c r="H40" s="11">
        <f t="shared" si="13"/>
        <v>22</v>
      </c>
      <c r="I40" s="3" t="s">
        <v>19</v>
      </c>
      <c r="J40" s="3">
        <v>0</v>
      </c>
      <c r="K40" s="3" t="s">
        <v>19</v>
      </c>
      <c r="L40" s="3" t="s">
        <v>19</v>
      </c>
      <c r="M40" s="3">
        <v>0</v>
      </c>
      <c r="N40" s="3">
        <v>0</v>
      </c>
      <c r="O40" s="3" t="s">
        <v>19</v>
      </c>
      <c r="P40" s="3" t="s">
        <v>19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 t="s">
        <v>19</v>
      </c>
      <c r="AA40" s="3">
        <v>0</v>
      </c>
      <c r="AB40" s="3" t="s">
        <v>19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</row>
  </sheetData>
  <sortState ref="B24:AV37">
    <sortCondition descending="1" ref="C24:C37"/>
  </sortState>
  <mergeCells count="2">
    <mergeCell ref="B22:BI22"/>
    <mergeCell ref="B2:BI2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E19:E20 F19:F20 E38:E40 F38:F40 F18 E18 E5:F16 D25:F3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Yhago</dc:creator>
  <cp:lastModifiedBy>Luan Machado</cp:lastModifiedBy>
  <dcterms:created xsi:type="dcterms:W3CDTF">2021-12-31T00:43:00Z</dcterms:created>
  <dcterms:modified xsi:type="dcterms:W3CDTF">2026-07-11T18:44:46Z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30134414B1774ABDBCF85C3ACE649470</vt:lpwstr>
  </property>
  <property fmtid="{D5CDD505-2E9C-101B-9397-08002B2CF9AE}" pid="3" name="KSOProductBuildVer">
    <vt:lpwstr>1046-11.2.0.10451</vt:lpwstr>
  </property>
</Properties>
</file>